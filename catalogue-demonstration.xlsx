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1596a7651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ttle" sheetId="1" r:id="R97704f0e54524eff"/>
    <x:sheet xmlns:r="http://schemas.openxmlformats.org/officeDocument/2006/relationships" name="Notebook" sheetId="2" r:id="R26cef011fffe4804"/>
    <x:sheet xmlns:r="http://schemas.openxmlformats.org/officeDocument/2006/relationships" name="Supplier input" sheetId="3" r:id="R5857c60bfc994311"/>
    <x:sheet xmlns:r="http://schemas.openxmlformats.org/officeDocument/2006/relationships" name="Sources &amp; map" sheetId="4" r:id="R8b686633b7554b01"/>
    <x:sheet xmlns:r="http://schemas.openxmlformats.org/officeDocument/2006/relationships" name="Exceptions &amp; guide" sheetId="5" r:id="R3890b930eae7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 &quot;"/>
    <x:numFmt numFmtId="201" formatCode="0.00&quot;  &quot;"/>
    <x:numFmt numFmtId="202" formatCode="0.00"/>
  </x:numFmts>
  <x:fonts count="7">
    <x:font>
      <x:sz val="11"/>
      <x:name val="Carlito"/>
    </x:font>
    <x:font>
      <x:sz val="11"/>
      <x:color rgb="FF203047"/>
      <x:name val="Arial"/>
    </x:font>
    <x:font>
      <x:b/>
      <x:sz val="20"/>
      <x:color rgb="FF203047"/>
      <x:name val="Arial"/>
    </x:font>
    <x:font>
      <x:i/>
      <x:sz val="10"/>
      <x:color rgb="FF5B6572"/>
      <x:name val="Arial"/>
    </x:font>
    <x:font>
      <x:b/>
      <x:sz val="11"/>
      <x:color rgb="FF203047"/>
      <x:name val="Arial"/>
    </x:font>
    <x:font>
      <x:b/>
      <x:sz val="10"/>
      <x:color rgb="FFFFFFFF"/>
      <x:name val="Arial"/>
    </x:font>
    <x:font>
      <x:sz val="10"/>
      <x:color rgb="FF5B657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F3F6"/>
      </x:patternFill>
    </x:fill>
    <x:fill>
      <x:patternFill patternType="solid">
        <x:fgColor rgb="FF203047"/>
      </x:patternFill>
    </x:fill>
    <x:fill>
      <x:patternFill patternType="solid">
        <x:fgColor rgb="FFFFF8DF"/>
      </x:patternFill>
    </x:fill>
  </x:fills>
  <x:borders count="8">
    <x:border/>
    <x:border>
      <x:bottom style="thin">
        <x:color rgb="FFCFD6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CFD6DD"/>
      </x:right>
    </x:border>
    <x:border>
      <x:left style="thin">
        <x:color rgb="FFCFD6DD"/>
      </x:left>
      <x:right style="thin">
        <x:color rgb="FFCFD6DD"/>
      </x:right>
    </x:border>
    <x:border>
      <x:left style="thin">
        <x:color rgb="FFCFD6DD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774400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07bc554f8477f" /><Relationship Type="http://schemas.openxmlformats.org/officeDocument/2006/relationships/theme" Target="/xl/theme/theme1.xml" Id="R54549a1d5ef748f6" /><Relationship Type="http://schemas.openxmlformats.org/officeDocument/2006/relationships/sharedStrings" Target="/xl/sharedStrings.xml" Id="Rb555331bf3f740c9" /><Relationship Type="http://schemas.openxmlformats.org/officeDocument/2006/relationships/worksheet" Target="/xl/worksheets/sheet1.xml" Id="R97704f0e54524eff" /><Relationship Type="http://schemas.openxmlformats.org/officeDocument/2006/relationships/worksheet" Target="/xl/worksheets/sheet2.xml" Id="R26cef011fffe4804" /><Relationship Type="http://schemas.openxmlformats.org/officeDocument/2006/relationships/worksheet" Target="/xl/worksheets/sheet3.xml" Id="R5857c60bfc994311" /><Relationship Type="http://schemas.openxmlformats.org/officeDocument/2006/relationships/worksheet" Target="/xl/worksheets/sheet4.xml" Id="R8b686633b7554b01" /><Relationship Type="http://schemas.openxmlformats.org/officeDocument/2006/relationships/worksheet" Target="/xl/worksheets/sheet5.xml" Id="R3890b930eae7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43.75" hidden="0" customWidth="1"/>
    <x:col min="3" max="3" width="15" hidden="0" customWidth="1"/>
    <x:col min="4" max="4" width="22.5" hidden="0" customWidth="1"/>
  </x:cols>
  <x:sheetData>
    <x:row r="1" ht="25" customHeight="1">
      <x:c r="A1" s="4" t="str">
        <x:v>Steel bottle</x:v>
      </x:c>
      <x:c r="B1" s="5"/>
      <x:c r="C1" s="5"/>
      <x:c r="D1" s="5"/>
    </x:row>
    <x:row r="2" ht="25" customHeight="1">
      <x:c r="A2" s="6" t="str">
        <x:v>Fictional data, created with AI by 1 Yen Lab. This is a demonstration, not client work.</x:v>
      </x:c>
      <x:c r="B2" s="6"/>
      <x:c r="C2" s="6"/>
      <x:c r="D2" s="6"/>
    </x:row>
    <x:row r="3" ht="25" customHeight="1">
      <x:c r="A3" s="6" t="str">
        <x:v>Product view. Change supplier values on Supplier input.</x:v>
      </x:c>
      <x:c r="B3" s="6"/>
      <x:c r="C3" s="6"/>
      <x:c r="D3" s="6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29" customHeight="1">
      <x:c r="A6" s="12" t="str">
        <x:v>Field</x:v>
      </x:c>
      <x:c r="B6" s="13" t="str">
        <x:v>Value</x:v>
      </x:c>
      <x:c r="C6" s="13" t="str">
        <x:v>Unit / meaning</x:v>
      </x:c>
      <x:c r="D6" s="14" t="str">
        <x:v>Input reference</x:v>
      </x:c>
    </x:row>
    <x:row r="7" ht="30" customHeight="1">
      <x:c r="A7" s="2" t="str">
        <x:v>Product code</x:v>
      </x:c>
      <x:c r="B7" s="24" t="str">
        <x:f>IF('Supplier input'!B8="","",'Supplier input'!B8)</x:f>
        <x:v>BT-042</x:v>
      </x:c>
      <x:c r="C7" s="24" t="str"/>
      <x:c r="D7" s="27" t="str">
        <x:v>B8</x:v>
      </x:c>
    </x:row>
    <x:row r="8" ht="30" customHeight="1">
      <x:c r="A8" s="2" t="str">
        <x:v>Supplier</x:v>
      </x:c>
      <x:c r="B8" s="24" t="str">
        <x:f>IF('Supplier input'!B9="","",'Supplier input'!B9)</x:f>
        <x:v>Northglass Demo</x:v>
      </x:c>
      <x:c r="C8" s="24" t="str"/>
      <x:c r="D8" s="27" t="str">
        <x:v>B9</x:v>
      </x:c>
    </x:row>
    <x:row r="9" ht="30" customHeight="1">
      <x:c r="A9" s="2" t="str">
        <x:v>Product name</x:v>
      </x:c>
      <x:c r="B9" s="24" t="str">
        <x:f>IF('Supplier input'!B10="","",'Supplier input'!B10)</x:f>
        <x:v>650 ml steel bottle</x:v>
      </x:c>
      <x:c r="C9" s="24" t="str"/>
      <x:c r="D9" s="27" t="str">
        <x:v>B10</x:v>
      </x:c>
    </x:row>
    <x:row r="10" ht="30" customHeight="1">
      <x:c r="A10" s="2" t="str">
        <x:v>Material</x:v>
      </x:c>
      <x:c r="B10" s="24" t="str">
        <x:f>IF('Supplier input'!B11="","",'Supplier input'!B11)</x:f>
        <x:v>Stainless steel</x:v>
      </x:c>
      <x:c r="C10" s="24" t="str"/>
      <x:c r="D10" s="27" t="str">
        <x:v>B11</x:v>
      </x:c>
    </x:row>
    <x:row r="11" ht="30" customHeight="1">
      <x:c r="A11" s="2" t="str">
        <x:v>Colour</x:v>
      </x:c>
      <x:c r="B11" s="24" t="str">
        <x:f>IF('Supplier input'!B12="","",'Supplier input'!B12)</x:f>
        <x:v>Charcoal</x:v>
      </x:c>
      <x:c r="C11" s="24" t="str"/>
      <x:c r="D11" s="27" t="str">
        <x:v>B12</x:v>
      </x:c>
    </x:row>
    <x:row r="12" ht="30" customHeight="1">
      <x:c r="A12" s="2" t="str">
        <x:v>Dimensions</x:v>
      </x:c>
      <x:c r="B12" s="24" t="str">
        <x:f>IF('Supplier input'!B13="","",'Supplier input'!B13)</x:f>
        <x:v>H 220 x diameter 75 mm</x:v>
      </x:c>
      <x:c r="C12" s="24" t="str">
        <x:v>as supplied</x:v>
      </x:c>
      <x:c r="D12" s="27" t="str">
        <x:v>B13</x:v>
      </x:c>
    </x:row>
    <x:row r="13" ht="30" customHeight="1">
      <x:c r="A13" s="2" t="str">
        <x:v>Unit weight</x:v>
      </x:c>
      <x:c r="B13" s="25" t="n">
        <x:f>IF('Supplier input'!B14="","",'Supplier input'!B14)</x:f>
        <x:v>310</x:v>
      </x:c>
      <x:c r="C13" s="24" t="str">
        <x:v>g</x:v>
      </x:c>
      <x:c r="D13" s="27" t="str">
        <x:v>B14</x:v>
      </x:c>
    </x:row>
    <x:row r="14" ht="30" customHeight="1">
      <x:c r="A14" s="2" t="str">
        <x:v>Decoration</x:v>
      </x:c>
      <x:c r="B14" s="24" t="str">
        <x:f>IF('Supplier input'!B15="","",'Supplier input'!B15)</x:f>
        <x:v>Laser engraving</x:v>
      </x:c>
      <x:c r="C14" s="24" t="str"/>
      <x:c r="D14" s="27" t="str">
        <x:v>B15</x:v>
      </x:c>
    </x:row>
    <x:row r="15" ht="30" customHeight="1">
      <x:c r="A15" s="2" t="str">
        <x:v>Decoration area</x:v>
      </x:c>
      <x:c r="B15" s="24" t="str">
        <x:f>IF('Supplier input'!B16="","",'Supplier input'!B16)</x:f>
        <x:v>35 x 80 mm</x:v>
      </x:c>
      <x:c r="C15" s="24" t="str">
        <x:v>as supplied</x:v>
      </x:c>
      <x:c r="D15" s="27" t="str">
        <x:v>B16</x:v>
      </x:c>
    </x:row>
    <x:row r="16" ht="30" customHeight="1">
      <x:c r="A16" s="2" t="str">
        <x:v>Lead time</x:v>
      </x:c>
      <x:c r="B16" s="24" t="str">
        <x:f>IF('Supplier input'!B17="","",'Supplier input'!B17)</x:f>
      </x:c>
      <x:c r="C16" s="24" t="str">
        <x:v>working days</x:v>
      </x:c>
      <x:c r="D16" s="27" t="str">
        <x:v>B17</x:v>
      </x:c>
    </x:row>
    <x:row r="17" ht="30" customHeight="1">
      <x:c r="A17" s="2" t="str">
        <x:v>Minimum order</x:v>
      </x:c>
      <x:c r="B17" s="25" t="n">
        <x:f>IF('Supplier input'!B18="","",'Supplier input'!B18)</x:f>
        <x:v>50</x:v>
      </x:c>
      <x:c r="C17" s="24" t="str">
        <x:v>units</x:v>
      </x:c>
      <x:c r="D17" s="27" t="str">
        <x:v>B18</x:v>
      </x:c>
    </x:row>
    <x:row r="18" ht="30" customHeight="1">
      <x:c r="A18" s="2" t="str">
        <x:v>Carton quantity</x:v>
      </x:c>
      <x:c r="B18" s="25" t="n">
        <x:f>IF('Supplier input'!B19="","",'Supplier input'!B19)</x:f>
        <x:v>25</x:v>
      </x:c>
      <x:c r="C18" s="24" t="str">
        <x:v>units</x:v>
      </x:c>
      <x:c r="D18" s="27" t="str">
        <x:v>B19</x:v>
      </x:c>
    </x:row>
    <x:row r="19" ht="30" customHeight="1">
      <x:c r="A19" s="2" t="str">
        <x:v>Quote currency</x:v>
      </x:c>
      <x:c r="B19" s="24" t="str">
        <x:f>IF('Supplier input'!B20="","",'Supplier input'!B20)</x:f>
        <x:v>EUR</x:v>
      </x:c>
      <x:c r="C19" s="24" t="str">
        <x:v>ISO code</x:v>
      </x:c>
      <x:c r="D19" s="27" t="str">
        <x:v>B20</x:v>
      </x:c>
    </x:row>
    <x:row r="20" ht="30" customHeight="1">
      <x:c r="A20" s="2" t="str">
        <x:v>Setup fee</x:v>
      </x:c>
      <x:c r="B20" s="26" t="n">
        <x:f>IF('Supplier input'!B21="","",'Supplier input'!B21)</x:f>
        <x:v>35</x:v>
      </x:c>
      <x:c r="C20" s="24" t="str">
        <x:v>one-time amount</x:v>
      </x:c>
      <x:c r="D20" s="27" t="str">
        <x:v>B21</x:v>
      </x:c>
    </x:row>
    <x:row r="21" ht="30" customHeight="1">
      <x:c r="A21" s="2" t="str">
        <x:v>Setup currency</x:v>
      </x:c>
      <x:c r="B21" s="24" t="str">
        <x:f>IF('Supplier input'!B22="","",'Supplier input'!B22)</x:f>
        <x:v>EUR</x:v>
      </x:c>
      <x:c r="C21" s="24" t="str">
        <x:v>ISO code</x:v>
      </x:c>
      <x:c r="D21" s="27" t="str">
        <x:v>B22</x:v>
      </x:c>
    </x:row>
    <x:row r="22" ht="30" customHeight="1">
      <x:c r="A22" s="2" t="str">
        <x:v>Specific attribute</x:v>
      </x:c>
      <x:c r="B22" s="24" t="str">
        <x:f>IF('Supplier input'!B23="","",'Supplier input'!B23)</x:f>
        <x:v>Capacity (ml)</x:v>
      </x:c>
      <x:c r="C22" s="24" t="str"/>
      <x:c r="D22" s="27" t="str">
        <x:v>B23</x:v>
      </x:c>
    </x:row>
    <x:row r="23" ht="30" customHeight="1">
      <x:c r="A23" s="2" t="str">
        <x:v>Attribute value</x:v>
      </x:c>
      <x:c r="B23" s="25" t="n">
        <x:f>IF('Supplier input'!B24="","",'Supplier input'!B24)</x:f>
        <x:v>650</x:v>
      </x:c>
      <x:c r="C23" s="24" t="str">
        <x:v>see attribute</x:v>
      </x:c>
      <x:c r="D23" s="27" t="str">
        <x:v>B24</x:v>
      </x:c>
    </x:row>
    <x:row r="24" ht="43" customHeight="1">
      <x:c r="A24" s="2" t="str">
        <x:v>Price basis</x:v>
      </x:c>
      <x:c r="B24" s="24" t="str">
        <x:f>IF('Supplier input'!B25="","",'Supplier input'!B25)</x:f>
        <x:v>Per unit; tax / shipping not stated</x:v>
      </x:c>
      <x:c r="C24" s="24" t="str"/>
      <x:c r="D24" s="27" t="str">
        <x:v>B25</x:v>
      </x:c>
    </x:row>
    <x:row r="25" ht="30" customHeight="1">
      <x:c r="A25" s="2" t="str">
        <x:v>Image reference</x:v>
      </x:c>
      <x:c r="B25" s="24" t="str">
        <x:f>IF('Supplier input'!B26="","",'Supplier input'!B26)</x:f>
      </x:c>
      <x:c r="C25" s="24" t="str">
        <x:v>not supplied</x:v>
      </x:c>
      <x:c r="D25" s="27" t="str">
        <x:v>B26</x:v>
      </x:c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9" customHeight="1">
      <x:c r="A28" s="8" t="str">
        <x:v>Quantity pricing</x:v>
      </x:c>
      <x:c r="B28" s="8"/>
      <x:c r="C28" s="8"/>
      <x:c r="D28" s="8"/>
    </x:row>
    <x:row r="29" ht="25" customHeight="1">
      <x:c r="A29" s="2"/>
      <x:c r="B29" s="2"/>
      <x:c r="C29" s="2"/>
      <x:c r="D29" s="2"/>
    </x:row>
    <x:row r="30" ht="29" customHeight="1">
      <x:c r="A30" s="12" t="str">
        <x:v>Minimum quantity</x:v>
      </x:c>
      <x:c r="B30" s="13" t="str">
        <x:v>Unit price</x:v>
      </x:c>
      <x:c r="C30" s="13" t="str">
        <x:v>Currency</x:v>
      </x:c>
      <x:c r="D30" s="14" t="str">
        <x:v>Input row</x:v>
      </x:c>
    </x:row>
    <x:row r="31" ht="31" customHeight="1">
      <x:c r="A31" s="22" t="n">
        <x:f>IF('Supplier input'!B32="","",'Supplier input'!B32)</x:f>
        <x:v>50</x:v>
      </x:c>
      <x:c r="B31" s="23" t="n">
        <x:f>IF('Supplier input'!D32="","",'Supplier input'!D32)</x:f>
        <x:v>7.4</x:v>
      </x:c>
      <x:c r="C31" s="28" t="str">
        <x:f>IF('Supplier input'!C32="","",'Supplier input'!C32)</x:f>
        <x:v>EUR</x:v>
      </x:c>
      <x:c r="D31" s="2" t="str">
        <x:v>B32:D32</x:v>
      </x:c>
    </x:row>
    <x:row r="32" ht="31" customHeight="1">
      <x:c r="A32" s="22" t="n">
        <x:f>IF('Supplier input'!B33="","",'Supplier input'!B33)</x:f>
        <x:v>100</x:v>
      </x:c>
      <x:c r="B32" s="23" t="n">
        <x:f>IF('Supplier input'!D33="","",'Supplier input'!D33)</x:f>
        <x:v>6.9</x:v>
      </x:c>
      <x:c r="C32" s="28" t="str">
        <x:f>IF('Supplier input'!C33="","",'Supplier input'!C33)</x:f>
        <x:v>EUR</x:v>
      </x:c>
      <x:c r="D32" s="2" t="str">
        <x:v>B33:D33</x:v>
      </x:c>
    </x:row>
    <x:row r="33" ht="31" customHeight="1">
      <x:c r="A33" s="22" t="n">
        <x:f>IF('Supplier input'!B34="","",'Supplier input'!B34)</x:f>
        <x:v>250</x:v>
      </x:c>
      <x:c r="B33" s="23" t="n">
        <x:f>IF('Supplier input'!D34="","",'Supplier input'!D34)</x:f>
        <x:v>6.3</x:v>
      </x:c>
      <x:c r="C33" s="28" t="str">
        <x:f>IF('Supplier input'!C34="","",'Supplier input'!C34)</x:f>
        <x:v>EUR</x:v>
      </x:c>
      <x:c r="D33" s="2" t="str">
        <x:v>B34:D34</x:v>
      </x:c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  <x:row r="36" ht="29" customHeight="1">
      <x:c r="A36" s="8" t="str">
        <x:v>Open data questions</x:v>
      </x:c>
      <x:c r="B36" s="8"/>
      <x:c r="C36" s="8"/>
      <x:c r="D36" s="8"/>
    </x:row>
    <x:row r="37" ht="25" customHeight="1">
      <x:c r="A37" s="2"/>
      <x:c r="B37" s="2"/>
      <x:c r="C37" s="2"/>
      <x:c r="D37" s="2"/>
    </x:row>
    <x:row r="38" ht="25" customHeight="1">
      <x:c r="A38" s="2" t="str">
        <x:v>See Exceptions &amp; guide for missing details and supplier contradictions.</x:v>
      </x:c>
      <x:c r="B38" s="2"/>
      <x:c r="C38" s="2"/>
      <x:c r="D38" s="2"/>
    </x:row>
    <x:row r="39" ht="25" customHeight="1">
      <x:c r="A39" s="2" t="str">
        <x:v>Prices retain their original currency. No totals across currencies or conversions are calculated.</x:v>
      </x:c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 t="str">
        <x:v>Blank fields mean not supplied. Price tiers and minimum orders require supplier confirmation.</x:v>
      </x:c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  <x:row r="44" ht="25" customHeight="1">
      <x:c r="A44" s="2"/>
      <x:c r="B44" s="2"/>
      <x:c r="C44" s="2"/>
      <x:c r="D4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43.75" hidden="0" customWidth="1"/>
    <x:col min="3" max="3" width="15" hidden="0" customWidth="1"/>
    <x:col min="4" max="4" width="22.5" hidden="0" customWidth="1"/>
  </x:cols>
  <x:sheetData>
    <x:row r="1" ht="25" customHeight="1">
      <x:c r="A1" s="4" t="str">
        <x:v>Linen notebook</x:v>
      </x:c>
      <x:c r="B1" s="5"/>
      <x:c r="C1" s="5"/>
      <x:c r="D1" s="5"/>
    </x:row>
    <x:row r="2" ht="25" customHeight="1">
      <x:c r="A2" s="6" t="str">
        <x:v>Fictional data, created with AI by 1 Yen Lab. This is a demonstration, not client work.</x:v>
      </x:c>
      <x:c r="B2" s="6"/>
      <x:c r="C2" s="6"/>
      <x:c r="D2" s="6"/>
    </x:row>
    <x:row r="3" ht="25" customHeight="1">
      <x:c r="A3" s="6" t="str">
        <x:v>Product view. Change supplier values on Supplier input.</x:v>
      </x:c>
      <x:c r="B3" s="6"/>
      <x:c r="C3" s="6"/>
      <x:c r="D3" s="6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29" customHeight="1">
      <x:c r="A6" s="12" t="str">
        <x:v>Field</x:v>
      </x:c>
      <x:c r="B6" s="13" t="str">
        <x:v>Value</x:v>
      </x:c>
      <x:c r="C6" s="13" t="str">
        <x:v>Unit / meaning</x:v>
      </x:c>
      <x:c r="D6" s="14" t="str">
        <x:v>Input reference</x:v>
      </x:c>
    </x:row>
    <x:row r="7" ht="30" customHeight="1">
      <x:c r="A7" s="2" t="str">
        <x:v>Product code</x:v>
      </x:c>
      <x:c r="B7" s="24" t="str">
        <x:f>IF('Supplier input'!C8="","",'Supplier input'!C8)</x:f>
        <x:v>NB-318</x:v>
      </x:c>
      <x:c r="C7" s="24" t="str"/>
      <x:c r="D7" s="27" t="str">
        <x:v>C8</x:v>
      </x:c>
    </x:row>
    <x:row r="8" ht="30" customHeight="1">
      <x:c r="A8" s="2" t="str">
        <x:v>Supplier</x:v>
      </x:c>
      <x:c r="B8" s="24" t="str">
        <x:f>IF('Supplier input'!C9="","",'Supplier input'!C9)</x:f>
        <x:v>Paperline Demo</x:v>
      </x:c>
      <x:c r="C8" s="24" t="str"/>
      <x:c r="D8" s="27" t="str">
        <x:v>C9</x:v>
      </x:c>
    </x:row>
    <x:row r="9" ht="30" customHeight="1">
      <x:c r="A9" s="2" t="str">
        <x:v>Product name</x:v>
      </x:c>
      <x:c r="B9" s="24" t="str">
        <x:f>IF('Supplier input'!C10="","",'Supplier input'!C10)</x:f>
        <x:v>Linen A5 notebook</x:v>
      </x:c>
      <x:c r="C9" s="24" t="str"/>
      <x:c r="D9" s="27" t="str">
        <x:v>C10</x:v>
      </x:c>
    </x:row>
    <x:row r="10" ht="30" customHeight="1">
      <x:c r="A10" s="2" t="str">
        <x:v>Material</x:v>
      </x:c>
      <x:c r="B10" s="24" t="str">
        <x:f>IF('Supplier input'!C11="","",'Supplier input'!C11)</x:f>
        <x:v>Linen cover / plain paper</x:v>
      </x:c>
      <x:c r="C10" s="24" t="str"/>
      <x:c r="D10" s="27" t="str">
        <x:v>C11</x:v>
      </x:c>
    </x:row>
    <x:row r="11" ht="30" customHeight="1">
      <x:c r="A11" s="2" t="str">
        <x:v>Colour</x:v>
      </x:c>
      <x:c r="B11" s="24" t="str">
        <x:f>IF('Supplier input'!C12="","",'Supplier input'!C12)</x:f>
        <x:v>Sand</x:v>
      </x:c>
      <x:c r="C11" s="24" t="str"/>
      <x:c r="D11" s="27" t="str">
        <x:v>C12</x:v>
      </x:c>
    </x:row>
    <x:row r="12" ht="30" customHeight="1">
      <x:c r="A12" s="2" t="str">
        <x:v>Dimensions</x:v>
      </x:c>
      <x:c r="B12" s="24" t="str">
        <x:f>IF('Supplier input'!C13="","",'Supplier input'!C13)</x:f>
        <x:v>148 x 210 x 12 mm</x:v>
      </x:c>
      <x:c r="C12" s="24" t="str">
        <x:v>as supplied</x:v>
      </x:c>
      <x:c r="D12" s="27" t="str">
        <x:v>C13</x:v>
      </x:c>
    </x:row>
    <x:row r="13" ht="30" customHeight="1">
      <x:c r="A13" s="2" t="str">
        <x:v>Unit weight</x:v>
      </x:c>
      <x:c r="B13" s="25" t="n">
        <x:f>IF('Supplier input'!C14="","",'Supplier input'!C14)</x:f>
        <x:v>265</x:v>
      </x:c>
      <x:c r="C13" s="24" t="str">
        <x:v>g</x:v>
      </x:c>
      <x:c r="D13" s="27" t="str">
        <x:v>C14</x:v>
      </x:c>
    </x:row>
    <x:row r="14" ht="30" customHeight="1">
      <x:c r="A14" s="2" t="str">
        <x:v>Decoration</x:v>
      </x:c>
      <x:c r="B14" s="24" t="str">
        <x:f>IF('Supplier input'!C15="","",'Supplier input'!C15)</x:f>
        <x:v>Screen print</x:v>
      </x:c>
      <x:c r="C14" s="24" t="str"/>
      <x:c r="D14" s="27" t="str">
        <x:v>C15</x:v>
      </x:c>
    </x:row>
    <x:row r="15" ht="30" customHeight="1">
      <x:c r="A15" s="2" t="str">
        <x:v>Decoration area</x:v>
      </x:c>
      <x:c r="B15" s="24" t="str">
        <x:f>IF('Supplier input'!C16="","",'Supplier input'!C16)</x:f>
        <x:v>80 x 40 mm</x:v>
      </x:c>
      <x:c r="C15" s="24" t="str">
        <x:v>as supplied</x:v>
      </x:c>
      <x:c r="D15" s="27" t="str">
        <x:v>C16</x:v>
      </x:c>
    </x:row>
    <x:row r="16" ht="30" customHeight="1">
      <x:c r="A16" s="2" t="str">
        <x:v>Lead time</x:v>
      </x:c>
      <x:c r="B16" s="25" t="n">
        <x:f>IF('Supplier input'!C17="","",'Supplier input'!C17)</x:f>
        <x:v>12</x:v>
      </x:c>
      <x:c r="C16" s="24" t="str">
        <x:v>working days</x:v>
      </x:c>
      <x:c r="D16" s="27" t="str">
        <x:v>C17</x:v>
      </x:c>
    </x:row>
    <x:row r="17" ht="30" customHeight="1">
      <x:c r="A17" s="2" t="str">
        <x:v>Minimum order</x:v>
      </x:c>
      <x:c r="B17" s="25" t="n">
        <x:f>IF('Supplier input'!C18="","",'Supplier input'!C18)</x:f>
        <x:v>100</x:v>
      </x:c>
      <x:c r="C17" s="24" t="str">
        <x:v>units</x:v>
      </x:c>
      <x:c r="D17" s="27" t="str">
        <x:v>C18</x:v>
      </x:c>
    </x:row>
    <x:row r="18" ht="30" customHeight="1">
      <x:c r="A18" s="2" t="str">
        <x:v>Carton quantity</x:v>
      </x:c>
      <x:c r="B18" s="25" t="n">
        <x:f>IF('Supplier input'!C19="","",'Supplier input'!C19)</x:f>
        <x:v>20</x:v>
      </x:c>
      <x:c r="C18" s="24" t="str">
        <x:v>units</x:v>
      </x:c>
      <x:c r="D18" s="27" t="str">
        <x:v>C19</x:v>
      </x:c>
    </x:row>
    <x:row r="19" ht="30" customHeight="1">
      <x:c r="A19" s="2" t="str">
        <x:v>Quote currency</x:v>
      </x:c>
      <x:c r="B19" s="24" t="str">
        <x:f>IF('Supplier input'!C20="","",'Supplier input'!C20)</x:f>
        <x:v>USD</x:v>
      </x:c>
      <x:c r="C19" s="24" t="str">
        <x:v>ISO code</x:v>
      </x:c>
      <x:c r="D19" s="27" t="str">
        <x:v>C20</x:v>
      </x:c>
    </x:row>
    <x:row r="20" ht="30" customHeight="1">
      <x:c r="A20" s="2" t="str">
        <x:v>Setup fee</x:v>
      </x:c>
      <x:c r="B20" s="26" t="n">
        <x:f>IF('Supplier input'!C21="","",'Supplier input'!C21)</x:f>
        <x:v>25</x:v>
      </x:c>
      <x:c r="C20" s="24" t="str">
        <x:v>one-time amount</x:v>
      </x:c>
      <x:c r="D20" s="27" t="str">
        <x:v>C21</x:v>
      </x:c>
    </x:row>
    <x:row r="21" ht="30" customHeight="1">
      <x:c r="A21" s="2" t="str">
        <x:v>Setup currency</x:v>
      </x:c>
      <x:c r="B21" s="24" t="str">
        <x:f>IF('Supplier input'!C22="","",'Supplier input'!C22)</x:f>
        <x:v>USD</x:v>
      </x:c>
      <x:c r="C21" s="24" t="str">
        <x:v>ISO code</x:v>
      </x:c>
      <x:c r="D21" s="27" t="str">
        <x:v>C22</x:v>
      </x:c>
    </x:row>
    <x:row r="22" ht="30" customHeight="1">
      <x:c r="A22" s="2" t="str">
        <x:v>Specific attribute</x:v>
      </x:c>
      <x:c r="B22" s="24" t="str">
        <x:f>IF('Supplier input'!C23="","",'Supplier input'!C23)</x:f>
        <x:v>Page count</x:v>
      </x:c>
      <x:c r="C22" s="24" t="str"/>
      <x:c r="D22" s="27" t="str">
        <x:v>C23</x:v>
      </x:c>
    </x:row>
    <x:row r="23" ht="30" customHeight="1">
      <x:c r="A23" s="2" t="str">
        <x:v>Attribute value</x:v>
      </x:c>
      <x:c r="B23" s="25" t="n">
        <x:f>IF('Supplier input'!C24="","",'Supplier input'!C24)</x:f>
        <x:v>160</x:v>
      </x:c>
      <x:c r="C23" s="24" t="str">
        <x:v>see attribute</x:v>
      </x:c>
      <x:c r="D23" s="27" t="str">
        <x:v>C24</x:v>
      </x:c>
    </x:row>
    <x:row r="24" ht="43" customHeight="1">
      <x:c r="A24" s="2" t="str">
        <x:v>Price basis</x:v>
      </x:c>
      <x:c r="B24" s="24" t="str">
        <x:f>IF('Supplier input'!C25="","",'Supplier input'!C25)</x:f>
        <x:v>Per unit; tax / shipping not stated</x:v>
      </x:c>
      <x:c r="C24" s="24" t="str"/>
      <x:c r="D24" s="27" t="str">
        <x:v>C25</x:v>
      </x:c>
    </x:row>
    <x:row r="25" ht="30" customHeight="1">
      <x:c r="A25" s="2" t="str">
        <x:v>Image reference</x:v>
      </x:c>
      <x:c r="B25" s="24" t="str">
        <x:f>IF('Supplier input'!C26="","",'Supplier input'!C26)</x:f>
      </x:c>
      <x:c r="C25" s="24" t="str">
        <x:v>not supplied</x:v>
      </x:c>
      <x:c r="D25" s="27" t="str">
        <x:v>C26</x:v>
      </x:c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9" customHeight="1">
      <x:c r="A28" s="8" t="str">
        <x:v>Quantity pricing</x:v>
      </x:c>
      <x:c r="B28" s="8"/>
      <x:c r="C28" s="8"/>
      <x:c r="D28" s="8"/>
    </x:row>
    <x:row r="29" ht="25" customHeight="1">
      <x:c r="A29" s="2"/>
      <x:c r="B29" s="2"/>
      <x:c r="C29" s="2"/>
      <x:c r="D29" s="2"/>
    </x:row>
    <x:row r="30" ht="29" customHeight="1">
      <x:c r="A30" s="12" t="str">
        <x:v>Minimum quantity</x:v>
      </x:c>
      <x:c r="B30" s="13" t="str">
        <x:v>Unit price</x:v>
      </x:c>
      <x:c r="C30" s="13" t="str">
        <x:v>Currency</x:v>
      </x:c>
      <x:c r="D30" s="14" t="str">
        <x:v>Input row</x:v>
      </x:c>
    </x:row>
    <x:row r="31" ht="31" customHeight="1">
      <x:c r="A31" s="22" t="n">
        <x:f>IF('Supplier input'!B35="","",'Supplier input'!B35)</x:f>
        <x:v>50</x:v>
      </x:c>
      <x:c r="B31" s="23" t="n">
        <x:f>IF('Supplier input'!D35="","",'Supplier input'!D35)</x:f>
        <x:v>4.8</x:v>
      </x:c>
      <x:c r="C31" s="28" t="str">
        <x:f>IF('Supplier input'!C35="","",'Supplier input'!C35)</x:f>
        <x:v>USD</x:v>
      </x:c>
      <x:c r="D31" s="2" t="str">
        <x:v>B35:D35</x:v>
      </x:c>
    </x:row>
    <x:row r="32" ht="31" customHeight="1">
      <x:c r="A32" s="22" t="n">
        <x:f>IF('Supplier input'!B36="","",'Supplier input'!B36)</x:f>
        <x:v>250</x:v>
      </x:c>
      <x:c r="B32" s="23" t="n">
        <x:f>IF('Supplier input'!D36="","",'Supplier input'!D36)</x:f>
        <x:v>4.4</x:v>
      </x:c>
      <x:c r="C32" s="28" t="str">
        <x:f>IF('Supplier input'!C36="","",'Supplier input'!C36)</x:f>
        <x:v>EUR</x:v>
      </x:c>
      <x:c r="D32" s="2" t="str">
        <x:v>B36:D36</x:v>
      </x:c>
    </x:row>
    <x:row r="33" ht="31" customHeight="1">
      <x:c r="A33" s="22" t="n">
        <x:f>IF('Supplier input'!B37="","",'Supplier input'!B37)</x:f>
        <x:v>500</x:v>
      </x:c>
      <x:c r="B33" s="23" t="n">
        <x:f>IF('Supplier input'!D37="","",'Supplier input'!D37)</x:f>
        <x:v>4.1</x:v>
      </x:c>
      <x:c r="C33" s="28" t="str">
        <x:f>IF('Supplier input'!C37="","",'Supplier input'!C37)</x:f>
        <x:v>USD</x:v>
      </x:c>
      <x:c r="D33" s="2" t="str">
        <x:v>B37:D37</x:v>
      </x:c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  <x:row r="36" ht="29" customHeight="1">
      <x:c r="A36" s="8" t="str">
        <x:v>Open data questions</x:v>
      </x:c>
      <x:c r="B36" s="8"/>
      <x:c r="C36" s="8"/>
      <x:c r="D36" s="8"/>
    </x:row>
    <x:row r="37" ht="25" customHeight="1">
      <x:c r="A37" s="2"/>
      <x:c r="B37" s="2"/>
      <x:c r="C37" s="2"/>
      <x:c r="D37" s="2"/>
    </x:row>
    <x:row r="38" ht="25" customHeight="1">
      <x:c r="A38" s="2" t="str">
        <x:v>See Exceptions &amp; guide for missing details and supplier contradictions.</x:v>
      </x:c>
      <x:c r="B38" s="2"/>
      <x:c r="C38" s="2"/>
      <x:c r="D38" s="2"/>
    </x:row>
    <x:row r="39" ht="25" customHeight="1">
      <x:c r="A39" s="2" t="str">
        <x:v>Prices retain their original currency. No totals across currencies or conversions are calculated.</x:v>
      </x:c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 t="str">
        <x:v>Blank fields mean not supplied. Price tiers and minimum orders require supplier confirmation.</x:v>
      </x:c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  <x:row r="44" ht="25" customHeight="1">
      <x:c r="A44" s="2"/>
      <x:c r="B44" s="2"/>
      <x:c r="C44" s="2"/>
      <x:c r="D4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.5" hidden="0" customWidth="1"/>
    <x:col min="2" max="2" width="36.25" hidden="0" customWidth="1"/>
    <x:col min="3" max="3" width="36.25" hidden="0" customWidth="1"/>
    <x:col min="4" max="4" width="17.5" hidden="0" customWidth="1"/>
    <x:col min="5" max="5" width="19.3799991607666" hidden="0" customWidth="1"/>
    <x:col min="6" max="6" width="20" hidden="0" customWidth="1"/>
  </x:cols>
  <x:sheetData>
    <x:row r="1" ht="25" customHeight="1">
      <x:c r="A1" s="4" t="str">
        <x:v>Supplier input</x:v>
      </x:c>
      <x:c r="B1" s="5"/>
      <x:c r="C1" s="5"/>
      <x:c r="D1" s="5"/>
      <x:c r="E1" s="5"/>
      <x:c r="F1" s="5"/>
    </x:row>
    <x:row r="2" ht="25" customHeight="1">
      <x:c r="A2" s="6" t="str">
        <x:v>Fictional data, created with AI by 1 Yen Lab. This is a demonstration, not client work.</x:v>
      </x:c>
      <x:c r="B2" s="6"/>
      <x:c r="C2" s="6"/>
      <x:c r="D2" s="6"/>
      <x:c r="E2" s="6"/>
      <x:c r="F2" s="6"/>
    </x:row>
    <x:row r="3" ht="25" customHeight="1">
      <x:c r="A3" s="6" t="str">
        <x:v>Edit the amber cells. Product pages and exception results update from this sheet.</x:v>
      </x:c>
      <x:c r="B3" s="6"/>
      <x:c r="C3" s="6"/>
      <x:c r="D3" s="6"/>
      <x:c r="E3" s="6"/>
      <x:c r="F3" s="6"/>
    </x:row>
    <x:row r="4" ht="25" customHeight="1">
      <x:c r="A4" s="2"/>
      <x:c r="B4" s="2"/>
      <x:c r="C4" s="2"/>
      <x:c r="D4" s="2"/>
      <x:c r="E4" s="2"/>
      <x:c r="F4" s="2"/>
    </x:row>
    <x:row r="5" ht="29" customHeight="1">
      <x:c r="A5" s="8" t="str">
        <x:v>Common product fields</x:v>
      </x:c>
      <x:c r="B5" s="8"/>
      <x:c r="C5" s="8"/>
      <x:c r="D5" s="8"/>
      <x:c r="E5" s="8"/>
      <x:c r="F5" s="8"/>
    </x:row>
    <x:row r="6" ht="25" customHeight="1">
      <x:c r="A6" s="2"/>
      <x:c r="B6" s="2"/>
      <x:c r="C6" s="2"/>
      <x:c r="D6" s="2"/>
      <x:c r="E6" s="2"/>
      <x:c r="F6" s="2"/>
    </x:row>
    <x:row r="7" ht="29" customHeight="1">
      <x:c r="A7" s="12" t="str">
        <x:v>Field</x:v>
      </x:c>
      <x:c r="B7" s="13" t="str">
        <x:v>Bottle</x:v>
      </x:c>
      <x:c r="C7" s="13" t="str">
        <x:v>Notebook</x:v>
      </x:c>
      <x:c r="D7" s="13" t="str">
        <x:v>Unit / meaning</x:v>
      </x:c>
      <x:c r="E7" s="13" t="str">
        <x:v>Required</x:v>
      </x:c>
      <x:c r="F7" s="14" t="str"/>
    </x:row>
    <x:row r="8" ht="30" customHeight="1">
      <x:c r="A8" s="2" t="str">
        <x:v>Product code</x:v>
      </x:c>
      <x:c r="B8" s="16" t="str">
        <x:v>BT-042</x:v>
      </x:c>
      <x:c r="C8" s="16" t="str">
        <x:v>NB-318</x:v>
      </x:c>
      <x:c r="D8" s="2" t="str"/>
      <x:c r="E8" s="2" t="str">
        <x:v>Required</x:v>
      </x:c>
      <x:c r="F8" s="2" t="str"/>
    </x:row>
    <x:row r="9" ht="30" customHeight="1">
      <x:c r="A9" s="2" t="str">
        <x:v>Supplier</x:v>
      </x:c>
      <x:c r="B9" s="16" t="str">
        <x:v>Northglass Demo</x:v>
      </x:c>
      <x:c r="C9" s="16" t="str">
        <x:v>Paperline Demo</x:v>
      </x:c>
      <x:c r="D9" s="2" t="str"/>
      <x:c r="E9" s="2" t="str">
        <x:v>Required</x:v>
      </x:c>
      <x:c r="F9" s="2" t="str"/>
    </x:row>
    <x:row r="10" ht="30" customHeight="1">
      <x:c r="A10" s="2" t="str">
        <x:v>Product name</x:v>
      </x:c>
      <x:c r="B10" s="16" t="str">
        <x:v>650 ml steel bottle</x:v>
      </x:c>
      <x:c r="C10" s="16" t="str">
        <x:v>Linen A5 notebook</x:v>
      </x:c>
      <x:c r="D10" s="2" t="str"/>
      <x:c r="E10" s="2" t="str">
        <x:v>Required</x:v>
      </x:c>
      <x:c r="F10" s="2" t="str"/>
    </x:row>
    <x:row r="11" ht="30" customHeight="1">
      <x:c r="A11" s="2" t="str">
        <x:v>Material</x:v>
      </x:c>
      <x:c r="B11" s="16" t="str">
        <x:v>Stainless steel</x:v>
      </x:c>
      <x:c r="C11" s="16" t="str">
        <x:v>Linen cover / plain paper</x:v>
      </x:c>
      <x:c r="D11" s="2" t="str"/>
      <x:c r="E11" s="2" t="str">
        <x:v>Optional</x:v>
      </x:c>
      <x:c r="F11" s="2" t="str"/>
    </x:row>
    <x:row r="12" ht="30" customHeight="1">
      <x:c r="A12" s="2" t="str">
        <x:v>Colour</x:v>
      </x:c>
      <x:c r="B12" s="16" t="str">
        <x:v>Charcoal</x:v>
      </x:c>
      <x:c r="C12" s="16" t="str">
        <x:v>Sand</x:v>
      </x:c>
      <x:c r="D12" s="2" t="str"/>
      <x:c r="E12" s="2" t="str">
        <x:v>Optional</x:v>
      </x:c>
      <x:c r="F12" s="2" t="str"/>
    </x:row>
    <x:row r="13" ht="30" customHeight="1">
      <x:c r="A13" s="2" t="str">
        <x:v>Dimensions</x:v>
      </x:c>
      <x:c r="B13" s="16" t="str">
        <x:v>H 220 x diameter 75 mm</x:v>
      </x:c>
      <x:c r="C13" s="16" t="str">
        <x:v>148 x 210 x 12 mm</x:v>
      </x:c>
      <x:c r="D13" s="2" t="str">
        <x:v>as supplied</x:v>
      </x:c>
      <x:c r="E13" s="2" t="str">
        <x:v>Optional</x:v>
      </x:c>
      <x:c r="F13" s="2" t="str"/>
    </x:row>
    <x:row r="14" ht="30" customHeight="1">
      <x:c r="A14" s="2" t="str">
        <x:v>Unit weight</x:v>
      </x:c>
      <x:c r="B14" s="17" t="n">
        <x:v>310</x:v>
      </x:c>
      <x:c r="C14" s="17" t="n">
        <x:v>265</x:v>
      </x:c>
      <x:c r="D14" s="2" t="str">
        <x:v>g</x:v>
      </x:c>
      <x:c r="E14" s="2" t="str">
        <x:v>Optional</x:v>
      </x:c>
      <x:c r="F14" s="2" t="str"/>
    </x:row>
    <x:row r="15" ht="30" customHeight="1">
      <x:c r="A15" s="2" t="str">
        <x:v>Decoration</x:v>
      </x:c>
      <x:c r="B15" s="16" t="str">
        <x:v>Laser engraving</x:v>
      </x:c>
      <x:c r="C15" s="16" t="str">
        <x:v>Screen print</x:v>
      </x:c>
      <x:c r="D15" s="2" t="str"/>
      <x:c r="E15" s="2" t="str">
        <x:v>Optional</x:v>
      </x:c>
      <x:c r="F15" s="2" t="str"/>
    </x:row>
    <x:row r="16" ht="30" customHeight="1">
      <x:c r="A16" s="2" t="str">
        <x:v>Decoration area</x:v>
      </x:c>
      <x:c r="B16" s="16" t="str">
        <x:v>35 x 80 mm</x:v>
      </x:c>
      <x:c r="C16" s="16" t="str">
        <x:v>80 x 40 mm</x:v>
      </x:c>
      <x:c r="D16" s="2" t="str">
        <x:v>as supplied</x:v>
      </x:c>
      <x:c r="E16" s="2" t="str">
        <x:v>Optional</x:v>
      </x:c>
      <x:c r="F16" s="2" t="str"/>
    </x:row>
    <x:row r="17" ht="30" customHeight="1">
      <x:c r="A17" s="2" t="str">
        <x:v>Lead time</x:v>
      </x:c>
      <x:c r="B17" s="17"/>
      <x:c r="C17" s="17" t="n">
        <x:v>12</x:v>
      </x:c>
      <x:c r="D17" s="2" t="str">
        <x:v>working days</x:v>
      </x:c>
      <x:c r="E17" s="2" t="str">
        <x:v>Required</x:v>
      </x:c>
      <x:c r="F17" s="2" t="str"/>
    </x:row>
    <x:row r="18" ht="30" customHeight="1">
      <x:c r="A18" s="2" t="str">
        <x:v>Minimum order</x:v>
      </x:c>
      <x:c r="B18" s="17" t="n">
        <x:v>50</x:v>
      </x:c>
      <x:c r="C18" s="17" t="n">
        <x:v>100</x:v>
      </x:c>
      <x:c r="D18" s="2" t="str">
        <x:v>units</x:v>
      </x:c>
      <x:c r="E18" s="2" t="str">
        <x:v>Required</x:v>
      </x:c>
      <x:c r="F18" s="2" t="str"/>
    </x:row>
    <x:row r="19" ht="30" customHeight="1">
      <x:c r="A19" s="2" t="str">
        <x:v>Carton quantity</x:v>
      </x:c>
      <x:c r="B19" s="17" t="n">
        <x:v>25</x:v>
      </x:c>
      <x:c r="C19" s="17" t="n">
        <x:v>20</x:v>
      </x:c>
      <x:c r="D19" s="2" t="str">
        <x:v>units</x:v>
      </x:c>
      <x:c r="E19" s="2" t="str">
        <x:v>Required</x:v>
      </x:c>
      <x:c r="F19" s="2" t="str"/>
    </x:row>
    <x:row r="20" ht="30" customHeight="1">
      <x:c r="A20" s="2" t="str">
        <x:v>Quote currency</x:v>
      </x:c>
      <x:c r="B20" s="16" t="str">
        <x:v>EUR</x:v>
      </x:c>
      <x:c r="C20" s="16" t="str">
        <x:v>USD</x:v>
      </x:c>
      <x:c r="D20" s="2" t="str">
        <x:v>ISO code</x:v>
      </x:c>
      <x:c r="E20" s="2" t="str">
        <x:v>Required</x:v>
      </x:c>
      <x:c r="F20" s="2" t="str"/>
    </x:row>
    <x:row r="21" ht="30" customHeight="1">
      <x:c r="A21" s="2" t="str">
        <x:v>Setup fee</x:v>
      </x:c>
      <x:c r="B21" s="18" t="n">
        <x:v>35</x:v>
      </x:c>
      <x:c r="C21" s="18" t="n">
        <x:v>25</x:v>
      </x:c>
      <x:c r="D21" s="2" t="str">
        <x:v>one-time amount</x:v>
      </x:c>
      <x:c r="E21" s="2" t="str">
        <x:v>Optional</x:v>
      </x:c>
      <x:c r="F21" s="2" t="str"/>
    </x:row>
    <x:row r="22" ht="30" customHeight="1">
      <x:c r="A22" s="2" t="str">
        <x:v>Setup currency</x:v>
      </x:c>
      <x:c r="B22" s="16" t="str">
        <x:v>EUR</x:v>
      </x:c>
      <x:c r="C22" s="16" t="str">
        <x:v>USD</x:v>
      </x:c>
      <x:c r="D22" s="2" t="str">
        <x:v>ISO code</x:v>
      </x:c>
      <x:c r="E22" s="2" t="str">
        <x:v>Optional</x:v>
      </x:c>
      <x:c r="F22" s="2" t="str"/>
    </x:row>
    <x:row r="23" ht="30" customHeight="1">
      <x:c r="A23" s="2" t="str">
        <x:v>Specific attribute</x:v>
      </x:c>
      <x:c r="B23" s="16" t="str">
        <x:v>Capacity (ml)</x:v>
      </x:c>
      <x:c r="C23" s="16" t="str">
        <x:v>Page count</x:v>
      </x:c>
      <x:c r="D23" s="2" t="str"/>
      <x:c r="E23" s="2" t="str">
        <x:v>Optional</x:v>
      </x:c>
      <x:c r="F23" s="2" t="str"/>
    </x:row>
    <x:row r="24" ht="30" customHeight="1">
      <x:c r="A24" s="2" t="str">
        <x:v>Attribute value</x:v>
      </x:c>
      <x:c r="B24" s="17" t="n">
        <x:v>650</x:v>
      </x:c>
      <x:c r="C24" s="17" t="n">
        <x:v>160</x:v>
      </x:c>
      <x:c r="D24" s="2" t="str">
        <x:v>see attribute</x:v>
      </x:c>
      <x:c r="E24" s="2" t="str">
        <x:v>Optional</x:v>
      </x:c>
      <x:c r="F24" s="2" t="str"/>
    </x:row>
    <x:row r="25" ht="43" customHeight="1">
      <x:c r="A25" s="2" t="str">
        <x:v>Price basis</x:v>
      </x:c>
      <x:c r="B25" s="16" t="str">
        <x:v>Per unit; tax / shipping not stated</x:v>
      </x:c>
      <x:c r="C25" s="16" t="str">
        <x:v>Per unit; tax / shipping not stated</x:v>
      </x:c>
      <x:c r="D25" s="2" t="str"/>
      <x:c r="E25" s="2" t="str">
        <x:v>Optional</x:v>
      </x:c>
      <x:c r="F25" s="2" t="str"/>
    </x:row>
    <x:row r="26" ht="30" customHeight="1">
      <x:c r="A26" s="2" t="str">
        <x:v>Image reference</x:v>
      </x:c>
      <x:c r="B26" s="16"/>
      <x:c r="C26" s="16"/>
      <x:c r="D26" s="2" t="str">
        <x:v>not supplied</x:v>
      </x:c>
      <x:c r="E26" s="2" t="str">
        <x:v>Optional</x:v>
      </x:c>
      <x:c r="F26" s="2" t="str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9" customHeight="1">
      <x:c r="A29" s="8" t="str">
        <x:v>Price tiers</x:v>
      </x:c>
      <x:c r="B29" s="8"/>
      <x:c r="C29" s="8"/>
      <x:c r="D29" s="8"/>
      <x:c r="E29" s="8"/>
      <x:c r="F29" s="8"/>
    </x:row>
    <x:row r="30" ht="25" customHeight="1">
      <x:c r="A30" s="2"/>
      <x:c r="B30" s="2"/>
      <x:c r="C30" s="2"/>
      <x:c r="D30" s="2"/>
      <x:c r="E30" s="2"/>
      <x:c r="F30" s="2"/>
    </x:row>
    <x:row r="31" ht="29" customHeight="1">
      <x:c r="A31" s="12" t="str">
        <x:v>Product code</x:v>
      </x:c>
      <x:c r="B31" s="13" t="str">
        <x:v>Minimum quantity</x:v>
      </x:c>
      <x:c r="C31" s="13" t="str">
        <x:v>Currency</x:v>
      </x:c>
      <x:c r="D31" s="13" t="str">
        <x:v>Unit price</x:v>
      </x:c>
      <x:c r="E31" s="13" t="str">
        <x:v>Tier</x:v>
      </x:c>
      <x:c r="F31" s="14" t="str"/>
    </x:row>
    <x:row r="32" ht="25" customHeight="1">
      <x:c r="A32" s="2" t="str">
        <x:f>IF('Supplier input'!B8="","",'Supplier input'!B8)</x:f>
        <x:v>BT-042</x:v>
      </x:c>
      <x:c r="B32" s="19" t="n">
        <x:v>50</x:v>
      </x:c>
      <x:c r="C32" s="21" t="str">
        <x:v>EUR</x:v>
      </x:c>
      <x:c r="D32" s="20" t="n">
        <x:v>7.4</x:v>
      </x:c>
      <x:c r="E32" s="2" t="n">
        <x:v>1</x:v>
      </x:c>
      <x:c r="F32" s="2" t="str"/>
    </x:row>
    <x:row r="33" ht="25" customHeight="1">
      <x:c r="A33" s="2" t="str">
        <x:f>IF('Supplier input'!B8="","",'Supplier input'!B8)</x:f>
        <x:v>BT-042</x:v>
      </x:c>
      <x:c r="B33" s="19" t="n">
        <x:v>100</x:v>
      </x:c>
      <x:c r="C33" s="21" t="str">
        <x:v>EUR</x:v>
      </x:c>
      <x:c r="D33" s="20" t="n">
        <x:v>6.9</x:v>
      </x:c>
      <x:c r="E33" s="2" t="n">
        <x:v>2</x:v>
      </x:c>
      <x:c r="F33" s="2" t="str"/>
    </x:row>
    <x:row r="34" ht="25" customHeight="1">
      <x:c r="A34" s="2" t="str">
        <x:f>IF('Supplier input'!B8="","",'Supplier input'!B8)</x:f>
        <x:v>BT-042</x:v>
      </x:c>
      <x:c r="B34" s="19" t="n">
        <x:v>250</x:v>
      </x:c>
      <x:c r="C34" s="21" t="str">
        <x:v>EUR</x:v>
      </x:c>
      <x:c r="D34" s="20" t="n">
        <x:v>6.3</x:v>
      </x:c>
      <x:c r="E34" s="2" t="n">
        <x:v>3</x:v>
      </x:c>
      <x:c r="F34" s="2" t="str"/>
    </x:row>
    <x:row r="35" ht="25" customHeight="1">
      <x:c r="A35" s="2" t="str">
        <x:f>IF('Supplier input'!C8="","",'Supplier input'!C8)</x:f>
        <x:v>NB-318</x:v>
      </x:c>
      <x:c r="B35" s="19" t="n">
        <x:v>50</x:v>
      </x:c>
      <x:c r="C35" s="21" t="str">
        <x:v>USD</x:v>
      </x:c>
      <x:c r="D35" s="20" t="n">
        <x:v>4.8</x:v>
      </x:c>
      <x:c r="E35" s="2" t="n">
        <x:v>1</x:v>
      </x:c>
      <x:c r="F35" s="2" t="str"/>
    </x:row>
    <x:row r="36" ht="25" customHeight="1">
      <x:c r="A36" s="2" t="str">
        <x:f>IF('Supplier input'!C8="","",'Supplier input'!C8)</x:f>
        <x:v>NB-318</x:v>
      </x:c>
      <x:c r="B36" s="19" t="n">
        <x:v>250</x:v>
      </x:c>
      <x:c r="C36" s="21" t="str">
        <x:v>EUR</x:v>
      </x:c>
      <x:c r="D36" s="20" t="n">
        <x:v>4.4</x:v>
      </x:c>
      <x:c r="E36" s="2" t="n">
        <x:v>2</x:v>
      </x:c>
      <x:c r="F36" s="2" t="str"/>
    </x:row>
    <x:row r="37" ht="25" customHeight="1">
      <x:c r="A37" s="2" t="str">
        <x:f>IF('Supplier input'!C8="","",'Supplier input'!C8)</x:f>
        <x:v>NB-318</x:v>
      </x:c>
      <x:c r="B37" s="19" t="n">
        <x:v>500</x:v>
      </x:c>
      <x:c r="C37" s="21" t="str">
        <x:v>USD</x:v>
      </x:c>
      <x:c r="D37" s="20" t="n">
        <x:v>4.1</x:v>
      </x:c>
      <x:c r="E37" s="2" t="n">
        <x:v>3</x:v>
      </x:c>
      <x:c r="F37" s="2" t="str"/>
    </x:row>
    <x:row r="38" ht="25" customHeight="1">
      <x:c r="A38" s="2"/>
      <x:c r="B38" s="2"/>
      <x:c r="C38" s="2"/>
      <x:c r="D38" s="2"/>
      <x:c r="E38" s="2"/>
      <x:c r="F38" s="2"/>
    </x:row>
    <x:row r="39" ht="25" customHeight="1">
      <x:c r="A39" s="2"/>
      <x:c r="B39" s="2"/>
      <x:c r="C39" s="2"/>
      <x:c r="D39" s="2"/>
      <x:c r="E39" s="2"/>
      <x:c r="F39" s="2"/>
    </x:row>
    <x:row r="40" ht="29" customHeight="1">
      <x:c r="A40" s="8" t="str">
        <x:v>Updating the two sample records</x:v>
      </x:c>
      <x:c r="B40" s="8"/>
      <x:c r="C40" s="8"/>
      <x:c r="D40" s="8"/>
      <x:c r="E40" s="8"/>
      <x:c r="F40" s="8"/>
    </x:row>
    <x:row r="41" ht="25" customHeight="1">
      <x:c r="A41" s="2"/>
      <x:c r="B41" s="2"/>
      <x:c r="C41" s="2"/>
      <x:c r="D41" s="2"/>
      <x:c r="E41" s="2"/>
      <x:c r="F41" s="2"/>
    </x:row>
    <x:row r="42" ht="25" customHeight="1">
      <x:c r="A42" s="2" t="str">
        <x:v>Keep original values in Sources &amp; map. Enter confirmed supplier changes here.</x:v>
      </x:c>
      <x:c r="B42" s="2"/>
      <x:c r="C42" s="2"/>
      <x:c r="D42" s="2"/>
      <x:c r="E42" s="2"/>
      <x:c r="F42" s="2"/>
    </x:row>
    <x:row r="43" ht="25" customHeight="1">
      <x:c r="A43" s="2" t="str">
        <x:v>Enter numeric quantities and amounts. Keep each quoted currency. No exchange rate is applied.</x:v>
      </x:c>
      <x:c r="B43" s="2"/>
      <x:c r="C43" s="2"/>
      <x:c r="D43" s="2"/>
      <x:c r="E43" s="2"/>
      <x:c r="F43" s="2"/>
    </x:row>
    <x:row r="44" ht="25" customHeight="1">
      <x:c r="A44" s="2" t="str">
        <x:v>Empty inputs stay empty. Images are optional and have not been supplied for these fictional products.</x:v>
      </x:c>
      <x:c r="B44" s="2"/>
      <x:c r="C44" s="2"/>
      <x:c r="D44" s="2"/>
      <x:c r="E44" s="2"/>
      <x:c r="F44" s="2"/>
    </x:row>
    <x:row r="45" ht="25" customHeight="1">
      <x:c r="A45" s="2"/>
      <x:c r="B45" s="2"/>
      <x:c r="C45" s="2"/>
      <x:c r="D45" s="2"/>
      <x:c r="E45" s="2"/>
      <x:c r="F45" s="2"/>
    </x:row>
    <x:row r="46" ht="25" customHeight="1">
      <x:c r="A46" s="2" t="str">
        <x:v>To add a product or tier, extend the input, mapping, product formulas and checks together.</x:v>
      </x:c>
      <x:c r="B46" s="2"/>
      <x:c r="C46" s="2"/>
      <x:c r="D46" s="2"/>
      <x:c r="E46" s="2"/>
      <x:c r="F46" s="2"/>
    </x:row>
    <x:row r="47" ht="25" customHeight="1">
      <x:c r="A47" s="2" t="str">
        <x:v>This bounded example contains two products and three tiers each. It does not auto-create new tabs.</x:v>
      </x:c>
      <x:c r="B47" s="2"/>
      <x:c r="C47" s="2"/>
      <x:c r="D47" s="2"/>
      <x:c r="E47" s="2"/>
      <x:c r="F47" s="2"/>
    </x:row>
    <x:row r="48" ht="25" customHeight="1">
      <x:c r="A48" s="2"/>
      <x:c r="B48" s="2"/>
      <x:c r="C48" s="2"/>
      <x:c r="D48" s="2"/>
      <x:c r="E48" s="2"/>
      <x:c r="F48" s="2"/>
    </x:row>
    <x:row r="49" ht="25" customHeight="1">
      <x:c r="A49" s="2"/>
      <x:c r="B49" s="2"/>
      <x:c r="C49" s="2"/>
      <x:c r="D49" s="2"/>
      <x:c r="E49" s="2"/>
      <x:c r="F49" s="2"/>
    </x:row>
  </x:sheetData>
  <x:dataValidations count="2">
    <x:dataValidation type="whole" operator="greaterThan" sqref="B17:C19">
      <x:formula1>0</x:formula1>
    </x:dataValidation>
    <x:dataValidation type="whole" operator="greaterThan" sqref="B32:B37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.1299991607666" hidden="0" customWidth="1"/>
    <x:col min="2" max="2" width="38.75" hidden="0" customWidth="1"/>
    <x:col min="3" max="3" width="24.3799991607666" hidden="0" customWidth="1"/>
    <x:col min="4" max="4" width="21.25" hidden="0" customWidth="1"/>
    <x:col min="5" max="5" width="23.75" hidden="0" customWidth="1"/>
    <x:col min="6" max="6" width="25" hidden="0" customWidth="1"/>
  </x:cols>
  <x:sheetData>
    <x:row r="1" ht="25" customHeight="1">
      <x:c r="A1" s="4" t="str">
        <x:v>Sources and field mapping</x:v>
      </x:c>
      <x:c r="B1" s="5"/>
      <x:c r="C1" s="5"/>
      <x:c r="D1" s="5"/>
      <x:c r="E1" s="5"/>
      <x:c r="F1" s="5"/>
    </x:row>
    <x:row r="2" ht="25" customHeight="1">
      <x:c r="A2" s="6" t="str">
        <x:v>Fictional data, created with AI by 1 Yen Lab. This is a demonstration, not client work.</x:v>
      </x:c>
      <x:c r="B2" s="6"/>
      <x:c r="C2" s="6"/>
      <x:c r="D2" s="6"/>
      <x:c r="E2" s="6"/>
      <x:c r="F2" s="6"/>
    </x:row>
    <x:row r="3" ht="25" customHeight="1">
      <x:c r="A3" s="6" t="str">
        <x:v>Original values are fixed snapshots. The mapping below records every field, including blanks.</x:v>
      </x:c>
      <x:c r="B3" s="6"/>
      <x:c r="C3" s="6"/>
      <x:c r="D3" s="6"/>
      <x:c r="E3" s="6"/>
      <x:c r="F3" s="6"/>
    </x:row>
    <x:row r="4" ht="25" customHeight="1">
      <x:c r="A4" s="2"/>
      <x:c r="B4" s="2"/>
      <x:c r="C4" s="2"/>
      <x:c r="D4" s="2"/>
      <x:c r="E4" s="2"/>
      <x:c r="F4" s="2"/>
    </x:row>
    <x:row r="5" ht="29" customHeight="1">
      <x:c r="A5" s="8" t="str">
        <x:v>Source A: specification form and separate tier table</x:v>
      </x:c>
      <x:c r="B5" s="8"/>
      <x:c r="C5" s="8"/>
      <x:c r="D5" s="8"/>
      <x:c r="E5" s="8"/>
      <x:c r="F5" s="8"/>
    </x:row>
    <x:row r="6" ht="29" customHeight="1">
      <x:c r="A6" s="12" t="str">
        <x:v>Original label</x:v>
      </x:c>
      <x:c r="B6" s="13" t="str">
        <x:v>Original value</x:v>
      </x:c>
      <x:c r="C6" s="13" t="str">
        <x:v>Original label</x:v>
      </x:c>
      <x:c r="D6" s="13" t="str">
        <x:v>Original value</x:v>
      </x:c>
      <x:c r="E6" s="13" t="str"/>
      <x:c r="F6" s="14" t="str"/>
    </x:row>
    <x:row r="7" ht="42" customHeight="1">
      <x:c r="A7" s="24" t="str">
        <x:v>SKU</x:v>
      </x:c>
      <x:c r="B7" s="29" t="str">
        <x:v>BT-042</x:v>
      </x:c>
      <x:c r="C7" s="24" t="str">
        <x:v>MOQ</x:v>
      </x:c>
      <x:c r="D7" s="25" t="n">
        <x:v>50</x:v>
      </x:c>
      <x:c r="E7" s="2"/>
      <x:c r="F7" s="2"/>
    </x:row>
    <x:row r="8" ht="42" customHeight="1">
      <x:c r="A8" s="24" t="str">
        <x:v>Supplier</x:v>
      </x:c>
      <x:c r="B8" s="29" t="str">
        <x:v>Northglass Demo</x:v>
      </x:c>
      <x:c r="C8" s="24" t="str">
        <x:v>Units per carton</x:v>
      </x:c>
      <x:c r="D8" s="25" t="n">
        <x:v>25</x:v>
      </x:c>
      <x:c r="E8" s="2"/>
      <x:c r="F8" s="2"/>
    </x:row>
    <x:row r="9" ht="42" customHeight="1">
      <x:c r="A9" s="24" t="str">
        <x:v>Description</x:v>
      </x:c>
      <x:c r="B9" s="29" t="str">
        <x:v>650 ml steel bottle</x:v>
      </x:c>
      <x:c r="C9" s="24" t="str">
        <x:v>Quote currency</x:v>
      </x:c>
      <x:c r="D9" s="24" t="str">
        <x:v>EUR</x:v>
      </x:c>
      <x:c r="E9" s="2"/>
      <x:c r="F9" s="2"/>
    </x:row>
    <x:row r="10" ht="42" customHeight="1">
      <x:c r="A10" s="24" t="str">
        <x:v>Body material</x:v>
      </x:c>
      <x:c r="B10" s="29" t="str">
        <x:v>Stainless steel</x:v>
      </x:c>
      <x:c r="C10" s="24" t="str">
        <x:v>Setup cost</x:v>
      </x:c>
      <x:c r="D10" s="25" t="n">
        <x:v>35</x:v>
      </x:c>
      <x:c r="E10" s="2"/>
      <x:c r="F10" s="2"/>
    </x:row>
    <x:row r="11" ht="42" customHeight="1">
      <x:c r="A11" s="24" t="str">
        <x:v>Finish</x:v>
      </x:c>
      <x:c r="B11" s="29" t="str">
        <x:v>Charcoal</x:v>
      </x:c>
      <x:c r="C11" s="24" t="str">
        <x:v>Setup currency</x:v>
      </x:c>
      <x:c r="D11" s="24" t="str">
        <x:v>EUR</x:v>
      </x:c>
      <x:c r="E11" s="2"/>
      <x:c r="F11" s="2"/>
    </x:row>
    <x:row r="12" ht="42" customHeight="1">
      <x:c r="A12" s="24" t="str">
        <x:v>Dimensions</x:v>
      </x:c>
      <x:c r="B12" s="29" t="str">
        <x:v>H 220 x diameter 75 mm</x:v>
      </x:c>
      <x:c r="C12" s="24" t="str">
        <x:v>Extra attribute</x:v>
      </x:c>
      <x:c r="D12" s="24" t="str">
        <x:v>Capacity (ml)</x:v>
      </x:c>
      <x:c r="E12" s="2"/>
      <x:c r="F12" s="2"/>
    </x:row>
    <x:row r="13" ht="42" customHeight="1">
      <x:c r="A13" s="24" t="str">
        <x:v>Weight (g)</x:v>
      </x:c>
      <x:c r="B13" s="30" t="n">
        <x:v>310</x:v>
      </x:c>
      <x:c r="C13" s="24" t="str">
        <x:v>Extra value</x:v>
      </x:c>
      <x:c r="D13" s="25" t="n">
        <x:v>650</x:v>
      </x:c>
      <x:c r="E13" s="2"/>
      <x:c r="F13" s="2"/>
    </x:row>
    <x:row r="14" ht="42" customHeight="1">
      <x:c r="A14" s="24" t="str">
        <x:v>Branding method</x:v>
      </x:c>
      <x:c r="B14" s="29" t="str">
        <x:v>Laser engraving</x:v>
      </x:c>
      <x:c r="C14" s="24" t="str">
        <x:v>Price basis</x:v>
      </x:c>
      <x:c r="D14" s="24" t="str">
        <x:v>Per unit; tax / shipping not stated</x:v>
      </x:c>
      <x:c r="E14" s="2"/>
      <x:c r="F14" s="2"/>
    </x:row>
    <x:row r="15" ht="42" customHeight="1">
      <x:c r="A15" s="24" t="str">
        <x:v>Print area</x:v>
      </x:c>
      <x:c r="B15" s="29" t="str">
        <x:v>35 x 80 mm</x:v>
      </x:c>
      <x:c r="C15" s="24" t="str">
        <x:v>Image supplied</x:v>
      </x:c>
      <x:c r="D15" s="24"/>
      <x:c r="E15" s="2"/>
      <x:c r="F15" s="2"/>
    </x:row>
    <x:row r="16" ht="42" customHeight="1">
      <x:c r="A16" s="24" t="str">
        <x:v>Production days</x:v>
      </x:c>
      <x:c r="B16" s="29"/>
      <x:c r="C16" s="24" t="str"/>
      <x:c r="D16" s="24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9" customHeight="1">
      <x:c r="A18" s="12" t="str">
        <x:v>Tier</x:v>
      </x:c>
      <x:c r="B18" s="13" t="str">
        <x:v>Quantity</x:v>
      </x:c>
      <x:c r="C18" s="13" t="str">
        <x:v>Currency</x:v>
      </x:c>
      <x:c r="D18" s="13" t="str">
        <x:v>Unit price</x:v>
      </x:c>
      <x:c r="E18" s="13" t="str"/>
      <x:c r="F18" s="14" t="str"/>
    </x:row>
    <x:row r="19" ht="25" customHeight="1">
      <x:c r="A19" s="2" t="n">
        <x:v>1</x:v>
      </x:c>
      <x:c r="B19" s="2" t="n">
        <x:v>50</x:v>
      </x:c>
      <x:c r="C19" s="28" t="str">
        <x:v>EUR</x:v>
      </x:c>
      <x:c r="D19" s="31" t="n">
        <x:v>7.4</x:v>
      </x:c>
      <x:c r="E19" s="2"/>
      <x:c r="F19" s="2"/>
    </x:row>
    <x:row r="20" ht="25" customHeight="1">
      <x:c r="A20" s="2" t="n">
        <x:v>2</x:v>
      </x:c>
      <x:c r="B20" s="2" t="n">
        <x:v>100</x:v>
      </x:c>
      <x:c r="C20" s="28" t="str">
        <x:v>EUR</x:v>
      </x:c>
      <x:c r="D20" s="31" t="n">
        <x:v>6.9</x:v>
      </x:c>
      <x:c r="E20" s="2"/>
      <x:c r="F20" s="2"/>
    </x:row>
    <x:row r="21" ht="25" customHeight="1">
      <x:c r="A21" s="2" t="n">
        <x:v>3</x:v>
      </x:c>
      <x:c r="B21" s="2" t="n">
        <x:v>250</x:v>
      </x:c>
      <x:c r="C21" s="28" t="str">
        <x:v>EUR</x:v>
      </x:c>
      <x:c r="D21" s="31" t="n">
        <x:v>6.3</x:v>
      </x:c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9" customHeight="1">
      <x:c r="A24" s="8" t="str">
        <x:v>Source B: CSV-style supplier record</x:v>
      </x:c>
      <x:c r="B24" s="8"/>
      <x:c r="C24" s="8"/>
      <x:c r="D24" s="8"/>
      <x:c r="E24" s="8"/>
      <x:c r="F24" s="8"/>
    </x:row>
    <x:row r="25" ht="25" customHeight="1">
      <x:c r="A25" s="2" t="str">
        <x:v>One wide supplier record is shown in consecutive six-column groups for readability.</x:v>
      </x:c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9" customHeight="1">
      <x:c r="A27" s="12" t="str">
        <x:v>item_ref</x:v>
      </x:c>
      <x:c r="B27" s="13" t="str">
        <x:v>vendor_name</x:v>
      </x:c>
      <x:c r="C27" s="13" t="str">
        <x:v>item_title</x:v>
      </x:c>
      <x:c r="D27" s="13" t="str">
        <x:v>cover_and_paper</x:v>
      </x:c>
      <x:c r="E27" s="13" t="str">
        <x:v>colourway</x:v>
      </x:c>
      <x:c r="F27" s="14" t="str">
        <x:v>size_mm</x:v>
      </x:c>
    </x:row>
    <x:row r="28" ht="50" customHeight="1">
      <x:c r="A28" s="29" t="str">
        <x:v>NB-318</x:v>
      </x:c>
      <x:c r="B28" s="32" t="str">
        <x:v>Paperline Demo</x:v>
      </x:c>
      <x:c r="C28" s="32" t="str">
        <x:v>Linen A5 notebook</x:v>
      </x:c>
      <x:c r="D28" s="32" t="str">
        <x:v>Linen cover / plain paper</x:v>
      </x:c>
      <x:c r="E28" s="32" t="str">
        <x:v>Sand</x:v>
      </x:c>
      <x:c r="F28" s="33" t="str">
        <x:v>148 x 210 x 12 mm</x:v>
      </x:c>
    </x:row>
    <x:row r="29" ht="25" customHeight="1">
      <x:c r="A29" s="2"/>
      <x:c r="B29" s="2"/>
      <x:c r="C29" s="2"/>
      <x:c r="D29" s="2"/>
      <x:c r="E29" s="2"/>
      <x:c r="F29" s="2"/>
    </x:row>
    <x:row r="30" ht="29" customHeight="1">
      <x:c r="A30" s="12" t="str">
        <x:v>unit_weight_g</x:v>
      </x:c>
      <x:c r="B30" s="13" t="str">
        <x:v>customisation</x:v>
      </x:c>
      <x:c r="C30" s="13" t="str">
        <x:v>artwork_area_mm</x:v>
      </x:c>
      <x:c r="D30" s="13" t="str">
        <x:v>lead_days</x:v>
      </x:c>
      <x:c r="E30" s="13" t="str">
        <x:v>minimum_units</x:v>
      </x:c>
      <x:c r="F30" s="14" t="str">
        <x:v>carton_units</x:v>
      </x:c>
    </x:row>
    <x:row r="31" ht="50" customHeight="1">
      <x:c r="A31" s="30" t="n">
        <x:v>265</x:v>
      </x:c>
      <x:c r="B31" s="32" t="str">
        <x:v>Screen print</x:v>
      </x:c>
      <x:c r="C31" s="32" t="str">
        <x:v>80 x 40 mm</x:v>
      </x:c>
      <x:c r="D31" s="34" t="n">
        <x:v>12</x:v>
      </x:c>
      <x:c r="E31" s="34" t="n">
        <x:v>100</x:v>
      </x:c>
      <x:c r="F31" s="35" t="n">
        <x:v>20</x:v>
      </x:c>
    </x:row>
    <x:row r="32" ht="25" customHeight="1">
      <x:c r="A32" s="2"/>
      <x:c r="B32" s="2"/>
      <x:c r="C32" s="2"/>
      <x:c r="D32" s="2"/>
      <x:c r="E32" s="2"/>
      <x:c r="F32" s="2"/>
    </x:row>
    <x:row r="33" ht="29" customHeight="1">
      <x:c r="A33" s="12" t="str">
        <x:v>quote_ccy</x:v>
      </x:c>
      <x:c r="B33" s="13" t="str">
        <x:v>origination_fee</x:v>
      </x:c>
      <x:c r="C33" s="13" t="str">
        <x:v>fee_ccy</x:v>
      </x:c>
      <x:c r="D33" s="13" t="str">
        <x:v>extra_field</x:v>
      </x:c>
      <x:c r="E33" s="13" t="str">
        <x:v>extra_value</x:v>
      </x:c>
      <x:c r="F33" s="14" t="str">
        <x:v>pricing_scope</x:v>
      </x:c>
    </x:row>
    <x:row r="34" ht="50" customHeight="1">
      <x:c r="A34" s="29" t="str">
        <x:v>USD</x:v>
      </x:c>
      <x:c r="B34" s="34" t="n">
        <x:v>25</x:v>
      </x:c>
      <x:c r="C34" s="32" t="str">
        <x:v>USD</x:v>
      </x:c>
      <x:c r="D34" s="32" t="str">
        <x:v>Page count</x:v>
      </x:c>
      <x:c r="E34" s="34" t="n">
        <x:v>160</x:v>
      </x:c>
      <x:c r="F34" s="33" t="str">
        <x:v>Per unit; tax / shipping not stated</x:v>
      </x:c>
    </x:row>
    <x:row r="35" ht="25" customHeight="1">
      <x:c r="A35" s="2"/>
      <x:c r="B35" s="2"/>
      <x:c r="C35" s="2"/>
      <x:c r="D35" s="2"/>
      <x:c r="E35" s="2"/>
      <x:c r="F35" s="2"/>
    </x:row>
    <x:row r="36" ht="29" customHeight="1">
      <x:c r="A36" s="12" t="str">
        <x:v>image_ref</x:v>
      </x:c>
      <x:c r="B36" s="13" t="str">
        <x:v>tier1_qty</x:v>
      </x:c>
      <x:c r="C36" s="13" t="str">
        <x:v>tier1_ccy</x:v>
      </x:c>
      <x:c r="D36" s="13" t="str">
        <x:v>tier1_price</x:v>
      </x:c>
      <x:c r="E36" s="13" t="str">
        <x:v>tier2_qty</x:v>
      </x:c>
      <x:c r="F36" s="14" t="str">
        <x:v>tier2_ccy</x:v>
      </x:c>
    </x:row>
    <x:row r="37" ht="50" customHeight="1">
      <x:c r="A37" s="29"/>
      <x:c r="B37" s="34" t="n">
        <x:v>50</x:v>
      </x:c>
      <x:c r="C37" s="32" t="str">
        <x:v>USD</x:v>
      </x:c>
      <x:c r="D37" s="36" t="n">
        <x:v>4.8</x:v>
      </x:c>
      <x:c r="E37" s="34" t="n">
        <x:v>250</x:v>
      </x:c>
      <x:c r="F37" s="33" t="str">
        <x:v>EUR</x:v>
      </x:c>
    </x:row>
    <x:row r="38" ht="25" customHeight="1">
      <x:c r="A38" s="2"/>
      <x:c r="B38" s="2"/>
      <x:c r="C38" s="2"/>
      <x:c r="D38" s="2"/>
      <x:c r="E38" s="2"/>
      <x:c r="F38" s="2"/>
    </x:row>
    <x:row r="39" ht="29" customHeight="1">
      <x:c r="A39" s="12" t="str">
        <x:v>tier2_price</x:v>
      </x:c>
      <x:c r="B39" s="13" t="str">
        <x:v>tier3_qty</x:v>
      </x:c>
      <x:c r="C39" s="13" t="str">
        <x:v>tier3_ccy</x:v>
      </x:c>
      <x:c r="D39" s="13" t="str">
        <x:v>tier3_price</x:v>
      </x:c>
      <x:c r="E39" s="13" t="str"/>
      <x:c r="F39" s="14" t="str"/>
    </x:row>
    <x:row r="40" ht="50" customHeight="1">
      <x:c r="A40" s="37" t="n">
        <x:v>4.4</x:v>
      </x:c>
      <x:c r="B40" s="34" t="n">
        <x:v>500</x:v>
      </x:c>
      <x:c r="C40" s="32" t="str">
        <x:v>USD</x:v>
      </x:c>
      <x:c r="D40" s="36" t="n">
        <x:v>4.1</x:v>
      </x:c>
      <x:c r="E40" s="32"/>
      <x:c r="F40" s="33"/>
    </x:row>
    <x:row r="41" ht="25" customHeight="1">
      <x:c r="A41" s="2"/>
      <x:c r="B41" s="2"/>
      <x:c r="C41" s="2"/>
      <x:c r="D41" s="2"/>
      <x:c r="E41" s="2"/>
      <x:c r="F41" s="2"/>
    </x:row>
    <x:row r="42" ht="25" customHeight="1">
      <x:c r="A42" s="2"/>
      <x:c r="B42" s="2"/>
      <x:c r="C42" s="2"/>
      <x:c r="D42" s="2"/>
      <x:c r="E42" s="2"/>
      <x:c r="F42" s="2"/>
    </x:row>
    <x:row r="43" ht="25" customHeight="1">
      <x:c r="A43" s="2"/>
      <x:c r="B43" s="2"/>
      <x:c r="C43" s="2"/>
      <x:c r="D43" s="2"/>
      <x:c r="E43" s="2"/>
      <x:c r="F43" s="2"/>
    </x:row>
    <x:row r="44" ht="29" customHeight="1">
      <x:c r="A44" s="8" t="str">
        <x:v>Complete source-field mapping</x:v>
      </x:c>
      <x:c r="B44" s="8"/>
      <x:c r="C44" s="8"/>
      <x:c r="D44" s="8"/>
      <x:c r="E44" s="8"/>
      <x:c r="F44" s="8"/>
    </x:row>
    <x:row r="45" ht="25" customHeight="1">
      <x:c r="A45" s="2"/>
      <x:c r="B45" s="2"/>
      <x:c r="C45" s="2"/>
      <x:c r="D45" s="2"/>
      <x:c r="E45" s="2"/>
      <x:c r="F45" s="2"/>
    </x:row>
    <x:row r="46" ht="29" customHeight="1">
      <x:c r="A46" s="12" t="str">
        <x:v>Product / original field</x:v>
      </x:c>
      <x:c r="B46" s="13" t="str">
        <x:v>Original value</x:v>
      </x:c>
      <x:c r="C46" s="13" t="str">
        <x:v>Original source cell</x:v>
      </x:c>
      <x:c r="D46" s="13" t="str">
        <x:v>Supplier input cell</x:v>
      </x:c>
      <x:c r="E46" s="13" t="str">
        <x:v>Product cell</x:v>
      </x:c>
      <x:c r="F46" s="14" t="str">
        <x:v>Unified field</x:v>
      </x:c>
    </x:row>
    <x:row r="47" ht="40" customHeight="1">
      <x:c r="A47" s="24" t="str">
        <x:v>Bottle: SKU</x:v>
      </x:c>
      <x:c r="B47" s="24" t="str">
        <x:v>BT-042</x:v>
      </x:c>
      <x:c r="C47" s="38" t="str">
        <x:v>B7</x:v>
      </x:c>
      <x:c r="D47" s="38" t="str">
        <x:v>B8</x:v>
      </x:c>
      <x:c r="E47" s="38" t="str">
        <x:v>Bottle!B7</x:v>
      </x:c>
      <x:c r="F47" s="24" t="str">
        <x:v>Product code</x:v>
      </x:c>
    </x:row>
    <x:row r="48" ht="40" customHeight="1">
      <x:c r="A48" s="24" t="str">
        <x:v>Bottle: Supplier</x:v>
      </x:c>
      <x:c r="B48" s="24" t="str">
        <x:v>Northglass Demo</x:v>
      </x:c>
      <x:c r="C48" s="38" t="str">
        <x:v>B8</x:v>
      </x:c>
      <x:c r="D48" s="38" t="str">
        <x:v>B9</x:v>
      </x:c>
      <x:c r="E48" s="38" t="str">
        <x:v>Bottle!B8</x:v>
      </x:c>
      <x:c r="F48" s="24" t="str">
        <x:v>Supplier</x:v>
      </x:c>
    </x:row>
    <x:row r="49" ht="40" customHeight="1">
      <x:c r="A49" s="24" t="str">
        <x:v>Bottle: Description</x:v>
      </x:c>
      <x:c r="B49" s="24" t="str">
        <x:v>650 ml steel bottle</x:v>
      </x:c>
      <x:c r="C49" s="38" t="str">
        <x:v>B9</x:v>
      </x:c>
      <x:c r="D49" s="38" t="str">
        <x:v>B10</x:v>
      </x:c>
      <x:c r="E49" s="38" t="str">
        <x:v>Bottle!B9</x:v>
      </x:c>
      <x:c r="F49" s="24" t="str">
        <x:v>Product name</x:v>
      </x:c>
    </x:row>
    <x:row r="50" ht="40" customHeight="1">
      <x:c r="A50" s="24" t="str">
        <x:v>Bottle: Body material</x:v>
      </x:c>
      <x:c r="B50" s="24" t="str">
        <x:v>Stainless steel</x:v>
      </x:c>
      <x:c r="C50" s="38" t="str">
        <x:v>B10</x:v>
      </x:c>
      <x:c r="D50" s="38" t="str">
        <x:v>B11</x:v>
      </x:c>
      <x:c r="E50" s="38" t="str">
        <x:v>Bottle!B10</x:v>
      </x:c>
      <x:c r="F50" s="24" t="str">
        <x:v>Material</x:v>
      </x:c>
    </x:row>
    <x:row r="51" ht="40" customHeight="1">
      <x:c r="A51" s="24" t="str">
        <x:v>Bottle: Finish</x:v>
      </x:c>
      <x:c r="B51" s="24" t="str">
        <x:v>Charcoal</x:v>
      </x:c>
      <x:c r="C51" s="38" t="str">
        <x:v>B11</x:v>
      </x:c>
      <x:c r="D51" s="38" t="str">
        <x:v>B12</x:v>
      </x:c>
      <x:c r="E51" s="38" t="str">
        <x:v>Bottle!B11</x:v>
      </x:c>
      <x:c r="F51" s="24" t="str">
        <x:v>Colour</x:v>
      </x:c>
    </x:row>
    <x:row r="52" ht="40" customHeight="1">
      <x:c r="A52" s="24" t="str">
        <x:v>Bottle: Dimensions</x:v>
      </x:c>
      <x:c r="B52" s="24" t="str">
        <x:v>H 220 x diameter 75 mm</x:v>
      </x:c>
      <x:c r="C52" s="38" t="str">
        <x:v>B12</x:v>
      </x:c>
      <x:c r="D52" s="38" t="str">
        <x:v>B13</x:v>
      </x:c>
      <x:c r="E52" s="38" t="str">
        <x:v>Bottle!B12</x:v>
      </x:c>
      <x:c r="F52" s="24" t="str">
        <x:v>Dimensions</x:v>
      </x:c>
    </x:row>
    <x:row r="53" ht="40" customHeight="1">
      <x:c r="A53" s="24" t="str">
        <x:v>Bottle: Weight (g)</x:v>
      </x:c>
      <x:c r="B53" s="25" t="n">
        <x:v>310</x:v>
      </x:c>
      <x:c r="C53" s="38" t="str">
        <x:v>B13</x:v>
      </x:c>
      <x:c r="D53" s="38" t="str">
        <x:v>B14</x:v>
      </x:c>
      <x:c r="E53" s="38" t="str">
        <x:v>Bottle!B13</x:v>
      </x:c>
      <x:c r="F53" s="24" t="str">
        <x:v>Unit weight</x:v>
      </x:c>
    </x:row>
    <x:row r="54" ht="40" customHeight="1">
      <x:c r="A54" s="24" t="str">
        <x:v>Bottle: Branding method</x:v>
      </x:c>
      <x:c r="B54" s="24" t="str">
        <x:v>Laser engraving</x:v>
      </x:c>
      <x:c r="C54" s="38" t="str">
        <x:v>B14</x:v>
      </x:c>
      <x:c r="D54" s="38" t="str">
        <x:v>B15</x:v>
      </x:c>
      <x:c r="E54" s="38" t="str">
        <x:v>Bottle!B14</x:v>
      </x:c>
      <x:c r="F54" s="24" t="str">
        <x:v>Decoration</x:v>
      </x:c>
    </x:row>
    <x:row r="55" ht="40" customHeight="1">
      <x:c r="A55" s="24" t="str">
        <x:v>Bottle: Print area</x:v>
      </x:c>
      <x:c r="B55" s="24" t="str">
        <x:v>35 x 80 mm</x:v>
      </x:c>
      <x:c r="C55" s="38" t="str">
        <x:v>B15</x:v>
      </x:c>
      <x:c r="D55" s="38" t="str">
        <x:v>B16</x:v>
      </x:c>
      <x:c r="E55" s="38" t="str">
        <x:v>Bottle!B15</x:v>
      </x:c>
      <x:c r="F55" s="24" t="str">
        <x:v>Decoration area</x:v>
      </x:c>
    </x:row>
    <x:row r="56" ht="40" customHeight="1">
      <x:c r="A56" s="24" t="str">
        <x:v>Bottle: Production days</x:v>
      </x:c>
      <x:c r="B56" s="24"/>
      <x:c r="C56" s="38" t="str">
        <x:v>B16</x:v>
      </x:c>
      <x:c r="D56" s="38" t="str">
        <x:v>B17</x:v>
      </x:c>
      <x:c r="E56" s="38" t="str">
        <x:v>Bottle!B16</x:v>
      </x:c>
      <x:c r="F56" s="24" t="str">
        <x:v>Lead time</x:v>
      </x:c>
    </x:row>
    <x:row r="57" ht="40" customHeight="1">
      <x:c r="A57" s="24" t="str">
        <x:v>Bottle: MOQ</x:v>
      </x:c>
      <x:c r="B57" s="25" t="n">
        <x:v>50</x:v>
      </x:c>
      <x:c r="C57" s="38" t="str">
        <x:v>D7</x:v>
      </x:c>
      <x:c r="D57" s="38" t="str">
        <x:v>B18</x:v>
      </x:c>
      <x:c r="E57" s="38" t="str">
        <x:v>Bottle!B17</x:v>
      </x:c>
      <x:c r="F57" s="24" t="str">
        <x:v>Minimum order</x:v>
      </x:c>
    </x:row>
    <x:row r="58" ht="40" customHeight="1">
      <x:c r="A58" s="24" t="str">
        <x:v>Bottle: Units per carton</x:v>
      </x:c>
      <x:c r="B58" s="25" t="n">
        <x:v>25</x:v>
      </x:c>
      <x:c r="C58" s="38" t="str">
        <x:v>D8</x:v>
      </x:c>
      <x:c r="D58" s="38" t="str">
        <x:v>B19</x:v>
      </x:c>
      <x:c r="E58" s="38" t="str">
        <x:v>Bottle!B18</x:v>
      </x:c>
      <x:c r="F58" s="24" t="str">
        <x:v>Carton quantity</x:v>
      </x:c>
    </x:row>
    <x:row r="59" ht="40" customHeight="1">
      <x:c r="A59" s="24" t="str">
        <x:v>Bottle: Quote currency</x:v>
      </x:c>
      <x:c r="B59" s="24" t="str">
        <x:v>EUR</x:v>
      </x:c>
      <x:c r="C59" s="38" t="str">
        <x:v>D9</x:v>
      </x:c>
      <x:c r="D59" s="38" t="str">
        <x:v>B20</x:v>
      </x:c>
      <x:c r="E59" s="38" t="str">
        <x:v>Bottle!B19</x:v>
      </x:c>
      <x:c r="F59" s="24" t="str">
        <x:v>Quote currency</x:v>
      </x:c>
    </x:row>
    <x:row r="60" ht="40" customHeight="1">
      <x:c r="A60" s="24" t="str">
        <x:v>Bottle: Setup cost</x:v>
      </x:c>
      <x:c r="B60" s="25" t="n">
        <x:v>35</x:v>
      </x:c>
      <x:c r="C60" s="38" t="str">
        <x:v>D10</x:v>
      </x:c>
      <x:c r="D60" s="38" t="str">
        <x:v>B21</x:v>
      </x:c>
      <x:c r="E60" s="38" t="str">
        <x:v>Bottle!B20</x:v>
      </x:c>
      <x:c r="F60" s="24" t="str">
        <x:v>Setup fee</x:v>
      </x:c>
    </x:row>
    <x:row r="61" ht="40" customHeight="1">
      <x:c r="A61" s="24" t="str">
        <x:v>Bottle: Setup currency</x:v>
      </x:c>
      <x:c r="B61" s="24" t="str">
        <x:v>EUR</x:v>
      </x:c>
      <x:c r="C61" s="38" t="str">
        <x:v>D11</x:v>
      </x:c>
      <x:c r="D61" s="38" t="str">
        <x:v>B22</x:v>
      </x:c>
      <x:c r="E61" s="38" t="str">
        <x:v>Bottle!B21</x:v>
      </x:c>
      <x:c r="F61" s="24" t="str">
        <x:v>Setup currency</x:v>
      </x:c>
    </x:row>
    <x:row r="62" ht="40" customHeight="1">
      <x:c r="A62" s="24" t="str">
        <x:v>Bottle: Extra attribute</x:v>
      </x:c>
      <x:c r="B62" s="24" t="str">
        <x:v>Capacity (ml)</x:v>
      </x:c>
      <x:c r="C62" s="38" t="str">
        <x:v>D12</x:v>
      </x:c>
      <x:c r="D62" s="38" t="str">
        <x:v>B23</x:v>
      </x:c>
      <x:c r="E62" s="38" t="str">
        <x:v>Bottle!B22</x:v>
      </x:c>
      <x:c r="F62" s="24" t="str">
        <x:v>Specific attribute</x:v>
      </x:c>
    </x:row>
    <x:row r="63" ht="40" customHeight="1">
      <x:c r="A63" s="24" t="str">
        <x:v>Bottle: Extra value</x:v>
      </x:c>
      <x:c r="B63" s="25" t="n">
        <x:v>650</x:v>
      </x:c>
      <x:c r="C63" s="38" t="str">
        <x:v>D13</x:v>
      </x:c>
      <x:c r="D63" s="38" t="str">
        <x:v>B24</x:v>
      </x:c>
      <x:c r="E63" s="38" t="str">
        <x:v>Bottle!B23</x:v>
      </x:c>
      <x:c r="F63" s="24" t="str">
        <x:v>Attribute value</x:v>
      </x:c>
    </x:row>
    <x:row r="64" ht="40" customHeight="1">
      <x:c r="A64" s="24" t="str">
        <x:v>Bottle: Price basis</x:v>
      </x:c>
      <x:c r="B64" s="24" t="str">
        <x:v>Per unit; tax / shipping not stated</x:v>
      </x:c>
      <x:c r="C64" s="38" t="str">
        <x:v>D14</x:v>
      </x:c>
      <x:c r="D64" s="38" t="str">
        <x:v>B25</x:v>
      </x:c>
      <x:c r="E64" s="38" t="str">
        <x:v>Bottle!B24</x:v>
      </x:c>
      <x:c r="F64" s="24" t="str">
        <x:v>Price basis</x:v>
      </x:c>
    </x:row>
    <x:row r="65" ht="40" customHeight="1">
      <x:c r="A65" s="24" t="str">
        <x:v>Bottle: Image supplied</x:v>
      </x:c>
      <x:c r="B65" s="24"/>
      <x:c r="C65" s="38" t="str">
        <x:v>D15</x:v>
      </x:c>
      <x:c r="D65" s="38" t="str">
        <x:v>B26</x:v>
      </x:c>
      <x:c r="E65" s="38" t="str">
        <x:v>Bottle!B25</x:v>
      </x:c>
      <x:c r="F65" s="24" t="str">
        <x:v>Image reference</x:v>
      </x:c>
    </x:row>
    <x:row r="66" ht="40" customHeight="1">
      <x:c r="A66" s="24" t="str">
        <x:v>Bottle: Tier 1 / Quantity</x:v>
      </x:c>
      <x:c r="B66" s="25" t="n">
        <x:v>50</x:v>
      </x:c>
      <x:c r="C66" s="38" t="str">
        <x:v>B19</x:v>
      </x:c>
      <x:c r="D66" s="38" t="str">
        <x:v>B32</x:v>
      </x:c>
      <x:c r="E66" s="38" t="str">
        <x:v>Bottle!A31</x:v>
      </x:c>
      <x:c r="F66" s="24" t="str">
        <x:v>Tier 1 / Quantity</x:v>
      </x:c>
    </x:row>
    <x:row r="67" ht="40" customHeight="1">
      <x:c r="A67" s="24" t="str">
        <x:v>Bottle: Tier 1 / Currency</x:v>
      </x:c>
      <x:c r="B67" s="24" t="str">
        <x:v>EUR</x:v>
      </x:c>
      <x:c r="C67" s="38" t="str">
        <x:v>C19</x:v>
      </x:c>
      <x:c r="D67" s="38" t="str">
        <x:v>C32</x:v>
      </x:c>
      <x:c r="E67" s="38" t="str">
        <x:v>Bottle!C31</x:v>
      </x:c>
      <x:c r="F67" s="24" t="str">
        <x:v>Tier 1 / Currency</x:v>
      </x:c>
    </x:row>
    <x:row r="68" ht="40" customHeight="1">
      <x:c r="A68" s="24" t="str">
        <x:v>Bottle: Tier 1 / Unit price</x:v>
      </x:c>
      <x:c r="B68" s="26" t="n">
        <x:v>7.4</x:v>
      </x:c>
      <x:c r="C68" s="38" t="str">
        <x:v>D19</x:v>
      </x:c>
      <x:c r="D68" s="38" t="str">
        <x:v>D32</x:v>
      </x:c>
      <x:c r="E68" s="38" t="str">
        <x:v>Bottle!B31</x:v>
      </x:c>
      <x:c r="F68" s="24" t="str">
        <x:v>Tier 1 / Unit price</x:v>
      </x:c>
    </x:row>
    <x:row r="69" ht="40" customHeight="1">
      <x:c r="A69" s="24" t="str">
        <x:v>Bottle: Tier 2 / Quantity</x:v>
      </x:c>
      <x:c r="B69" s="25" t="n">
        <x:v>100</x:v>
      </x:c>
      <x:c r="C69" s="38" t="str">
        <x:v>B20</x:v>
      </x:c>
      <x:c r="D69" s="38" t="str">
        <x:v>B33</x:v>
      </x:c>
      <x:c r="E69" s="38" t="str">
        <x:v>Bottle!A32</x:v>
      </x:c>
      <x:c r="F69" s="24" t="str">
        <x:v>Tier 2 / Quantity</x:v>
      </x:c>
    </x:row>
    <x:row r="70" ht="40" customHeight="1">
      <x:c r="A70" s="24" t="str">
        <x:v>Bottle: Tier 2 / Currency</x:v>
      </x:c>
      <x:c r="B70" s="24" t="str">
        <x:v>EUR</x:v>
      </x:c>
      <x:c r="C70" s="38" t="str">
        <x:v>C20</x:v>
      </x:c>
      <x:c r="D70" s="38" t="str">
        <x:v>C33</x:v>
      </x:c>
      <x:c r="E70" s="38" t="str">
        <x:v>Bottle!C32</x:v>
      </x:c>
      <x:c r="F70" s="24" t="str">
        <x:v>Tier 2 / Currency</x:v>
      </x:c>
    </x:row>
    <x:row r="71" ht="40" customHeight="1">
      <x:c r="A71" s="24" t="str">
        <x:v>Bottle: Tier 2 / Unit price</x:v>
      </x:c>
      <x:c r="B71" s="26" t="n">
        <x:v>6.9</x:v>
      </x:c>
      <x:c r="C71" s="38" t="str">
        <x:v>D20</x:v>
      </x:c>
      <x:c r="D71" s="38" t="str">
        <x:v>D33</x:v>
      </x:c>
      <x:c r="E71" s="38" t="str">
        <x:v>Bottle!B32</x:v>
      </x:c>
      <x:c r="F71" s="24" t="str">
        <x:v>Tier 2 / Unit price</x:v>
      </x:c>
    </x:row>
    <x:row r="72" ht="40" customHeight="1">
      <x:c r="A72" s="24" t="str">
        <x:v>Bottle: Tier 3 / Quantity</x:v>
      </x:c>
      <x:c r="B72" s="25" t="n">
        <x:v>250</x:v>
      </x:c>
      <x:c r="C72" s="38" t="str">
        <x:v>B21</x:v>
      </x:c>
      <x:c r="D72" s="38" t="str">
        <x:v>B34</x:v>
      </x:c>
      <x:c r="E72" s="38" t="str">
        <x:v>Bottle!A33</x:v>
      </x:c>
      <x:c r="F72" s="24" t="str">
        <x:v>Tier 3 / Quantity</x:v>
      </x:c>
    </x:row>
    <x:row r="73" ht="40" customHeight="1">
      <x:c r="A73" s="24" t="str">
        <x:v>Bottle: Tier 3 / Currency</x:v>
      </x:c>
      <x:c r="B73" s="24" t="str">
        <x:v>EUR</x:v>
      </x:c>
      <x:c r="C73" s="38" t="str">
        <x:v>C21</x:v>
      </x:c>
      <x:c r="D73" s="38" t="str">
        <x:v>C34</x:v>
      </x:c>
      <x:c r="E73" s="38" t="str">
        <x:v>Bottle!C33</x:v>
      </x:c>
      <x:c r="F73" s="24" t="str">
        <x:v>Tier 3 / Currency</x:v>
      </x:c>
    </x:row>
    <x:row r="74" ht="40" customHeight="1">
      <x:c r="A74" s="24" t="str">
        <x:v>Bottle: Tier 3 / Unit price</x:v>
      </x:c>
      <x:c r="B74" s="26" t="n">
        <x:v>6.3</x:v>
      </x:c>
      <x:c r="C74" s="38" t="str">
        <x:v>D21</x:v>
      </x:c>
      <x:c r="D74" s="38" t="str">
        <x:v>D34</x:v>
      </x:c>
      <x:c r="E74" s="38" t="str">
        <x:v>Bottle!B33</x:v>
      </x:c>
      <x:c r="F74" s="24" t="str">
        <x:v>Tier 3 / Unit price</x:v>
      </x:c>
    </x:row>
    <x:row r="75" ht="40" customHeight="1">
      <x:c r="A75" s="24" t="str">
        <x:v>Notebook: item_ref</x:v>
      </x:c>
      <x:c r="B75" s="24" t="str">
        <x:v>NB-318</x:v>
      </x:c>
      <x:c r="C75" s="38" t="str">
        <x:v>A28</x:v>
      </x:c>
      <x:c r="D75" s="38" t="str">
        <x:v>C8</x:v>
      </x:c>
      <x:c r="E75" s="38" t="str">
        <x:v>Notebook!B7</x:v>
      </x:c>
      <x:c r="F75" s="24" t="str">
        <x:v>Product code</x:v>
      </x:c>
    </x:row>
    <x:row r="76" ht="40" customHeight="1">
      <x:c r="A76" s="24" t="str">
        <x:v>Notebook: vendor_name</x:v>
      </x:c>
      <x:c r="B76" s="24" t="str">
        <x:v>Paperline Demo</x:v>
      </x:c>
      <x:c r="C76" s="38" t="str">
        <x:v>B28</x:v>
      </x:c>
      <x:c r="D76" s="38" t="str">
        <x:v>C9</x:v>
      </x:c>
      <x:c r="E76" s="38" t="str">
        <x:v>Notebook!B8</x:v>
      </x:c>
      <x:c r="F76" s="24" t="str">
        <x:v>Supplier</x:v>
      </x:c>
    </x:row>
    <x:row r="77" ht="40" customHeight="1">
      <x:c r="A77" s="24" t="str">
        <x:v>Notebook: item_title</x:v>
      </x:c>
      <x:c r="B77" s="24" t="str">
        <x:v>Linen A5 notebook</x:v>
      </x:c>
      <x:c r="C77" s="38" t="str">
        <x:v>C28</x:v>
      </x:c>
      <x:c r="D77" s="38" t="str">
        <x:v>C10</x:v>
      </x:c>
      <x:c r="E77" s="38" t="str">
        <x:v>Notebook!B9</x:v>
      </x:c>
      <x:c r="F77" s="24" t="str">
        <x:v>Product name</x:v>
      </x:c>
    </x:row>
    <x:row r="78" ht="40" customHeight="1">
      <x:c r="A78" s="24" t="str">
        <x:v>Notebook: cover_and_paper</x:v>
      </x:c>
      <x:c r="B78" s="24" t="str">
        <x:v>Linen cover / plain paper</x:v>
      </x:c>
      <x:c r="C78" s="38" t="str">
        <x:v>D28</x:v>
      </x:c>
      <x:c r="D78" s="38" t="str">
        <x:v>C11</x:v>
      </x:c>
      <x:c r="E78" s="38" t="str">
        <x:v>Notebook!B10</x:v>
      </x:c>
      <x:c r="F78" s="24" t="str">
        <x:v>Material</x:v>
      </x:c>
    </x:row>
    <x:row r="79" ht="40" customHeight="1">
      <x:c r="A79" s="24" t="str">
        <x:v>Notebook: colourway</x:v>
      </x:c>
      <x:c r="B79" s="24" t="str">
        <x:v>Sand</x:v>
      </x:c>
      <x:c r="C79" s="38" t="str">
        <x:v>E28</x:v>
      </x:c>
      <x:c r="D79" s="38" t="str">
        <x:v>C12</x:v>
      </x:c>
      <x:c r="E79" s="38" t="str">
        <x:v>Notebook!B11</x:v>
      </x:c>
      <x:c r="F79" s="24" t="str">
        <x:v>Colour</x:v>
      </x:c>
    </x:row>
    <x:row r="80" ht="40" customHeight="1">
      <x:c r="A80" s="24" t="str">
        <x:v>Notebook: size_mm</x:v>
      </x:c>
      <x:c r="B80" s="24" t="str">
        <x:v>148 x 210 x 12 mm</x:v>
      </x:c>
      <x:c r="C80" s="38" t="str">
        <x:v>F28</x:v>
      </x:c>
      <x:c r="D80" s="38" t="str">
        <x:v>C13</x:v>
      </x:c>
      <x:c r="E80" s="38" t="str">
        <x:v>Notebook!B12</x:v>
      </x:c>
      <x:c r="F80" s="24" t="str">
        <x:v>Dimensions</x:v>
      </x:c>
    </x:row>
    <x:row r="81" ht="40" customHeight="1">
      <x:c r="A81" s="24" t="str">
        <x:v>Notebook: unit_weight_g</x:v>
      </x:c>
      <x:c r="B81" s="25" t="n">
        <x:v>265</x:v>
      </x:c>
      <x:c r="C81" s="38" t="str">
        <x:v>A31</x:v>
      </x:c>
      <x:c r="D81" s="38" t="str">
        <x:v>C14</x:v>
      </x:c>
      <x:c r="E81" s="38" t="str">
        <x:v>Notebook!B13</x:v>
      </x:c>
      <x:c r="F81" s="24" t="str">
        <x:v>Unit weight</x:v>
      </x:c>
    </x:row>
    <x:row r="82" ht="40" customHeight="1">
      <x:c r="A82" s="24" t="str">
        <x:v>Notebook: customisation</x:v>
      </x:c>
      <x:c r="B82" s="24" t="str">
        <x:v>Screen print</x:v>
      </x:c>
      <x:c r="C82" s="38" t="str">
        <x:v>B31</x:v>
      </x:c>
      <x:c r="D82" s="38" t="str">
        <x:v>C15</x:v>
      </x:c>
      <x:c r="E82" s="38" t="str">
        <x:v>Notebook!B14</x:v>
      </x:c>
      <x:c r="F82" s="24" t="str">
        <x:v>Decoration</x:v>
      </x:c>
    </x:row>
    <x:row r="83" ht="40" customHeight="1">
      <x:c r="A83" s="24" t="str">
        <x:v>Notebook: artwork_area_mm</x:v>
      </x:c>
      <x:c r="B83" s="24" t="str">
        <x:v>80 x 40 mm</x:v>
      </x:c>
      <x:c r="C83" s="38" t="str">
        <x:v>C31</x:v>
      </x:c>
      <x:c r="D83" s="38" t="str">
        <x:v>C16</x:v>
      </x:c>
      <x:c r="E83" s="38" t="str">
        <x:v>Notebook!B15</x:v>
      </x:c>
      <x:c r="F83" s="24" t="str">
        <x:v>Decoration area</x:v>
      </x:c>
    </x:row>
    <x:row r="84" ht="40" customHeight="1">
      <x:c r="A84" s="24" t="str">
        <x:v>Notebook: lead_days</x:v>
      </x:c>
      <x:c r="B84" s="25" t="n">
        <x:v>12</x:v>
      </x:c>
      <x:c r="C84" s="38" t="str">
        <x:v>D31</x:v>
      </x:c>
      <x:c r="D84" s="38" t="str">
        <x:v>C17</x:v>
      </x:c>
      <x:c r="E84" s="38" t="str">
        <x:v>Notebook!B16</x:v>
      </x:c>
      <x:c r="F84" s="24" t="str">
        <x:v>Lead time</x:v>
      </x:c>
    </x:row>
    <x:row r="85" ht="40" customHeight="1">
      <x:c r="A85" s="24" t="str">
        <x:v>Notebook: minimum_units</x:v>
      </x:c>
      <x:c r="B85" s="25" t="n">
        <x:v>100</x:v>
      </x:c>
      <x:c r="C85" s="38" t="str">
        <x:v>E31</x:v>
      </x:c>
      <x:c r="D85" s="38" t="str">
        <x:v>C18</x:v>
      </x:c>
      <x:c r="E85" s="38" t="str">
        <x:v>Notebook!B17</x:v>
      </x:c>
      <x:c r="F85" s="24" t="str">
        <x:v>Minimum order</x:v>
      </x:c>
    </x:row>
    <x:row r="86" ht="40" customHeight="1">
      <x:c r="A86" s="24" t="str">
        <x:v>Notebook: carton_units</x:v>
      </x:c>
      <x:c r="B86" s="25" t="n">
        <x:v>20</x:v>
      </x:c>
      <x:c r="C86" s="38" t="str">
        <x:v>F31</x:v>
      </x:c>
      <x:c r="D86" s="38" t="str">
        <x:v>C19</x:v>
      </x:c>
      <x:c r="E86" s="38" t="str">
        <x:v>Notebook!B18</x:v>
      </x:c>
      <x:c r="F86" s="24" t="str">
        <x:v>Carton quantity</x:v>
      </x:c>
    </x:row>
    <x:row r="87" ht="40" customHeight="1">
      <x:c r="A87" s="24" t="str">
        <x:v>Notebook: quote_ccy</x:v>
      </x:c>
      <x:c r="B87" s="24" t="str">
        <x:v>USD</x:v>
      </x:c>
      <x:c r="C87" s="38" t="str">
        <x:v>A34</x:v>
      </x:c>
      <x:c r="D87" s="38" t="str">
        <x:v>C20</x:v>
      </x:c>
      <x:c r="E87" s="38" t="str">
        <x:v>Notebook!B19</x:v>
      </x:c>
      <x:c r="F87" s="24" t="str">
        <x:v>Quote currency</x:v>
      </x:c>
    </x:row>
    <x:row r="88" ht="40" customHeight="1">
      <x:c r="A88" s="24" t="str">
        <x:v>Notebook: origination_fee</x:v>
      </x:c>
      <x:c r="B88" s="25" t="n">
        <x:v>25</x:v>
      </x:c>
      <x:c r="C88" s="38" t="str">
        <x:v>B34</x:v>
      </x:c>
      <x:c r="D88" s="38" t="str">
        <x:v>C21</x:v>
      </x:c>
      <x:c r="E88" s="38" t="str">
        <x:v>Notebook!B20</x:v>
      </x:c>
      <x:c r="F88" s="24" t="str">
        <x:v>Setup fee</x:v>
      </x:c>
    </x:row>
    <x:row r="89" ht="40" customHeight="1">
      <x:c r="A89" s="24" t="str">
        <x:v>Notebook: fee_ccy</x:v>
      </x:c>
      <x:c r="B89" s="24" t="str">
        <x:v>USD</x:v>
      </x:c>
      <x:c r="C89" s="38" t="str">
        <x:v>C34</x:v>
      </x:c>
      <x:c r="D89" s="38" t="str">
        <x:v>C22</x:v>
      </x:c>
      <x:c r="E89" s="38" t="str">
        <x:v>Notebook!B21</x:v>
      </x:c>
      <x:c r="F89" s="24" t="str">
        <x:v>Setup currency</x:v>
      </x:c>
    </x:row>
    <x:row r="90" ht="40" customHeight="1">
      <x:c r="A90" s="24" t="str">
        <x:v>Notebook: extra_field</x:v>
      </x:c>
      <x:c r="B90" s="24" t="str">
        <x:v>Page count</x:v>
      </x:c>
      <x:c r="C90" s="38" t="str">
        <x:v>D34</x:v>
      </x:c>
      <x:c r="D90" s="38" t="str">
        <x:v>C23</x:v>
      </x:c>
      <x:c r="E90" s="38" t="str">
        <x:v>Notebook!B22</x:v>
      </x:c>
      <x:c r="F90" s="24" t="str">
        <x:v>Specific attribute</x:v>
      </x:c>
    </x:row>
    <x:row r="91" ht="40" customHeight="1">
      <x:c r="A91" s="24" t="str">
        <x:v>Notebook: extra_value</x:v>
      </x:c>
      <x:c r="B91" s="25" t="n">
        <x:v>160</x:v>
      </x:c>
      <x:c r="C91" s="38" t="str">
        <x:v>E34</x:v>
      </x:c>
      <x:c r="D91" s="38" t="str">
        <x:v>C24</x:v>
      </x:c>
      <x:c r="E91" s="38" t="str">
        <x:v>Notebook!B23</x:v>
      </x:c>
      <x:c r="F91" s="24" t="str">
        <x:v>Attribute value</x:v>
      </x:c>
    </x:row>
    <x:row r="92" ht="40" customHeight="1">
      <x:c r="A92" s="24" t="str">
        <x:v>Notebook: pricing_scope</x:v>
      </x:c>
      <x:c r="B92" s="24" t="str">
        <x:v>Per unit; tax / shipping not stated</x:v>
      </x:c>
      <x:c r="C92" s="38" t="str">
        <x:v>F34</x:v>
      </x:c>
      <x:c r="D92" s="38" t="str">
        <x:v>C25</x:v>
      </x:c>
      <x:c r="E92" s="38" t="str">
        <x:v>Notebook!B24</x:v>
      </x:c>
      <x:c r="F92" s="24" t="str">
        <x:v>Price basis</x:v>
      </x:c>
    </x:row>
    <x:row r="93" ht="40" customHeight="1">
      <x:c r="A93" s="24" t="str">
        <x:v>Notebook: image_ref</x:v>
      </x:c>
      <x:c r="B93" s="24"/>
      <x:c r="C93" s="38" t="str">
        <x:v>A37</x:v>
      </x:c>
      <x:c r="D93" s="38" t="str">
        <x:v>C26</x:v>
      </x:c>
      <x:c r="E93" s="38" t="str">
        <x:v>Notebook!B25</x:v>
      </x:c>
      <x:c r="F93" s="24" t="str">
        <x:v>Image reference</x:v>
      </x:c>
    </x:row>
    <x:row r="94" ht="40" customHeight="1">
      <x:c r="A94" s="24" t="str">
        <x:v>Notebook: tier1_qty</x:v>
      </x:c>
      <x:c r="B94" s="25" t="n">
        <x:v>50</x:v>
      </x:c>
      <x:c r="C94" s="38" t="str">
        <x:v>B37</x:v>
      </x:c>
      <x:c r="D94" s="38" t="str">
        <x:v>B35</x:v>
      </x:c>
      <x:c r="E94" s="38" t="str">
        <x:v>Notebook!A31</x:v>
      </x:c>
      <x:c r="F94" s="24" t="str">
        <x:v>Tier 1 / Quantity</x:v>
      </x:c>
    </x:row>
    <x:row r="95" ht="40" customHeight="1">
      <x:c r="A95" s="24" t="str">
        <x:v>Notebook: tier1_ccy</x:v>
      </x:c>
      <x:c r="B95" s="24" t="str">
        <x:v>USD</x:v>
      </x:c>
      <x:c r="C95" s="38" t="str">
        <x:v>C37</x:v>
      </x:c>
      <x:c r="D95" s="38" t="str">
        <x:v>C35</x:v>
      </x:c>
      <x:c r="E95" s="38" t="str">
        <x:v>Notebook!C31</x:v>
      </x:c>
      <x:c r="F95" s="24" t="str">
        <x:v>Tier 1 / Currency</x:v>
      </x:c>
    </x:row>
    <x:row r="96" ht="40" customHeight="1">
      <x:c r="A96" s="24" t="str">
        <x:v>Notebook: tier1_price</x:v>
      </x:c>
      <x:c r="B96" s="26" t="n">
        <x:v>4.8</x:v>
      </x:c>
      <x:c r="C96" s="38" t="str">
        <x:v>D37</x:v>
      </x:c>
      <x:c r="D96" s="38" t="str">
        <x:v>D35</x:v>
      </x:c>
      <x:c r="E96" s="38" t="str">
        <x:v>Notebook!B31</x:v>
      </x:c>
      <x:c r="F96" s="24" t="str">
        <x:v>Tier 1 / Unit price</x:v>
      </x:c>
    </x:row>
    <x:row r="97" ht="40" customHeight="1">
      <x:c r="A97" s="24" t="str">
        <x:v>Notebook: tier2_qty</x:v>
      </x:c>
      <x:c r="B97" s="25" t="n">
        <x:v>250</x:v>
      </x:c>
      <x:c r="C97" s="38" t="str">
        <x:v>E37</x:v>
      </x:c>
      <x:c r="D97" s="38" t="str">
        <x:v>B36</x:v>
      </x:c>
      <x:c r="E97" s="38" t="str">
        <x:v>Notebook!A32</x:v>
      </x:c>
      <x:c r="F97" s="24" t="str">
        <x:v>Tier 2 / Quantity</x:v>
      </x:c>
    </x:row>
    <x:row r="98" ht="40" customHeight="1">
      <x:c r="A98" s="24" t="str">
        <x:v>Notebook: tier2_ccy</x:v>
      </x:c>
      <x:c r="B98" s="24" t="str">
        <x:v>EUR</x:v>
      </x:c>
      <x:c r="C98" s="38" t="str">
        <x:v>F37</x:v>
      </x:c>
      <x:c r="D98" s="38" t="str">
        <x:v>C36</x:v>
      </x:c>
      <x:c r="E98" s="38" t="str">
        <x:v>Notebook!C32</x:v>
      </x:c>
      <x:c r="F98" s="24" t="str">
        <x:v>Tier 2 / Currency</x:v>
      </x:c>
    </x:row>
    <x:row r="99" ht="40" customHeight="1">
      <x:c r="A99" s="24" t="str">
        <x:v>Notebook: tier2_price</x:v>
      </x:c>
      <x:c r="B99" s="26" t="n">
        <x:v>4.4</x:v>
      </x:c>
      <x:c r="C99" s="38" t="str">
        <x:v>A40</x:v>
      </x:c>
      <x:c r="D99" s="38" t="str">
        <x:v>D36</x:v>
      </x:c>
      <x:c r="E99" s="38" t="str">
        <x:v>Notebook!B32</x:v>
      </x:c>
      <x:c r="F99" s="24" t="str">
        <x:v>Tier 2 / Unit price</x:v>
      </x:c>
    </x:row>
    <x:row r="100" ht="40" customHeight="1">
      <x:c r="A100" s="24" t="str">
        <x:v>Notebook: tier3_qty</x:v>
      </x:c>
      <x:c r="B100" s="25" t="n">
        <x:v>500</x:v>
      </x:c>
      <x:c r="C100" s="38" t="str">
        <x:v>B40</x:v>
      </x:c>
      <x:c r="D100" s="38" t="str">
        <x:v>B37</x:v>
      </x:c>
      <x:c r="E100" s="38" t="str">
        <x:v>Notebook!A33</x:v>
      </x:c>
      <x:c r="F100" s="24" t="str">
        <x:v>Tier 3 / Quantity</x:v>
      </x:c>
    </x:row>
    <x:row r="101" ht="40" customHeight="1">
      <x:c r="A101" s="24" t="str">
        <x:v>Notebook: tier3_ccy</x:v>
      </x:c>
      <x:c r="B101" s="24" t="str">
        <x:v>USD</x:v>
      </x:c>
      <x:c r="C101" s="38" t="str">
        <x:v>C40</x:v>
      </x:c>
      <x:c r="D101" s="38" t="str">
        <x:v>C37</x:v>
      </x:c>
      <x:c r="E101" s="38" t="str">
        <x:v>Notebook!C33</x:v>
      </x:c>
      <x:c r="F101" s="24" t="str">
        <x:v>Tier 3 / Currency</x:v>
      </x:c>
    </x:row>
    <x:row r="102" ht="40" customHeight="1">
      <x:c r="A102" s="24" t="str">
        <x:v>Notebook: tier3_price</x:v>
      </x:c>
      <x:c r="B102" s="26" t="n">
        <x:v>4.1</x:v>
      </x:c>
      <x:c r="C102" s="38" t="str">
        <x:v>D40</x:v>
      </x:c>
      <x:c r="D102" s="38" t="str">
        <x:v>D37</x:v>
      </x:c>
      <x:c r="E102" s="38" t="str">
        <x:v>Notebook!B33</x:v>
      </x:c>
      <x:c r="F102" s="24" t="str">
        <x:v>Tier 3 / Unit price</x:v>
      </x:c>
    </x:row>
    <x:row r="103" ht="25" customHeight="1">
      <x:c r="A103" s="2"/>
      <x:c r="B103" s="2"/>
      <x:c r="C103" s="2"/>
      <x:c r="D103" s="2"/>
      <x:c r="E103" s="2"/>
      <x:c r="F103" s="2"/>
    </x:row>
    <x:row r="104" ht="25" customHeight="1">
      <x:c r="A104" s="2"/>
      <x:c r="B104" s="2"/>
      <x:c r="C104" s="2"/>
      <x:c r="D104" s="2"/>
      <x:c r="E104" s="2"/>
      <x:c r="F104" s="2"/>
    </x:row>
    <x:row r="105" ht="25" customHeight="1">
      <x:c r="A105" s="2" t="str">
        <x:v>Source labels, original values and cell destinations remain available after an input changes.</x:v>
      </x:c>
      <x:c r="B105" s="2"/>
      <x:c r="C105" s="2"/>
      <x:c r="D105" s="2"/>
      <x:c r="E105" s="2"/>
      <x:c r="F105" s="2"/>
    </x:row>
    <x:row r="106" ht="25" customHeight="1">
      <x:c r="A106" s="2" t="str">
        <x:v>All names, identifiers, specifications, quantities and prices were invented for this example.</x:v>
      </x:c>
      <x:c r="B106" s="2"/>
      <x:c r="C106" s="2"/>
      <x:c r="D106" s="2"/>
      <x:c r="E106" s="2"/>
      <x:c r="F106" s="2"/>
    </x:row>
    <x:row r="107" ht="25" customHeight="1">
      <x:c r="A107" s="2" t="str">
        <x:v>No customer file, supplier quote, marketplace text, product photo or third-party logo was used.</x:v>
      </x:c>
      <x:c r="B107" s="2"/>
      <x:c r="C107" s="2"/>
      <x:c r="D107" s="2"/>
      <x:c r="E107" s="2"/>
      <x:c r="F107" s="2"/>
    </x:row>
    <x:row r="108" ht="25" customHeight="1">
      <x:c r="A108" s="2"/>
      <x:c r="B108" s="2"/>
      <x:c r="C108" s="2"/>
      <x:c r="D108" s="2"/>
      <x:c r="E108" s="2"/>
      <x:c r="F108" s="2"/>
    </x:row>
    <x:row r="109" ht="25" customHeight="1">
      <x:c r="A109" s="2"/>
      <x:c r="B109" s="2"/>
      <x:c r="C109" s="2"/>
      <x:c r="D109" s="2"/>
      <x:c r="E109" s="2"/>
      <x:c r="F109" s="2"/>
    </x:row>
    <x:row r="110" ht="25" customHeight="1">
      <x:c r="A110" s="2"/>
      <x:c r="B110" s="2"/>
      <x:c r="C110" s="2"/>
      <x:c r="D110" s="2"/>
      <x:c r="E110" s="2"/>
      <x:c r="F110" s="2"/>
    </x:row>
    <x:row r="111" ht="25" customHeight="1">
      <x:c r="A111" s="2"/>
      <x:c r="B111" s="2"/>
      <x:c r="C111" s="2"/>
      <x:c r="D111" s="2"/>
      <x:c r="E111" s="2"/>
      <x:c r="F111" s="2"/>
    </x:row>
    <x:row r="112" ht="25" customHeight="1">
      <x:c r="A112" s="2"/>
      <x:c r="B112" s="2"/>
      <x:c r="C112" s="2"/>
      <x:c r="D112" s="2"/>
      <x:c r="E112" s="2"/>
      <x:c r="F112" s="2"/>
    </x:row>
    <x:row r="113" ht="25" customHeight="1">
      <x:c r="A113" s="2"/>
      <x:c r="B113" s="2"/>
      <x:c r="C113" s="2"/>
      <x:c r="D113" s="2"/>
      <x:c r="E113" s="2"/>
      <x:c r="F113" s="2"/>
    </x:row>
    <x:row r="114" ht="25" customHeight="1">
      <x:c r="A114" s="2"/>
      <x:c r="B114" s="2"/>
      <x:c r="C114" s="2"/>
      <x:c r="D114" s="2"/>
      <x:c r="E114" s="2"/>
      <x:c r="F114" s="2"/>
    </x:row>
    <x:row r="115" ht="25" customHeight="1">
      <x:c r="A115" s="2"/>
      <x:c r="B115" s="2"/>
      <x:c r="C115" s="2"/>
      <x:c r="D115" s="2"/>
      <x:c r="E115" s="2"/>
      <x:c r="F115" s="2"/>
    </x:row>
    <x:row r="116" ht="25" customHeight="1">
      <x:c r="A116" s="2"/>
      <x:c r="B116" s="2"/>
      <x:c r="C116" s="2"/>
      <x:c r="D116" s="2"/>
      <x:c r="E116" s="2"/>
      <x:c r="F116" s="2"/>
    </x:row>
    <x:row r="117" ht="25" customHeight="1">
      <x:c r="A117" s="2"/>
      <x:c r="B117" s="2"/>
      <x:c r="C117" s="2"/>
      <x:c r="D117" s="2"/>
      <x:c r="E117" s="2"/>
      <x:c r="F117" s="2"/>
    </x:row>
    <x:row r="118" ht="25" customHeight="1">
      <x:c r="A118" s="2"/>
      <x:c r="B118" s="2"/>
      <x:c r="C118" s="2"/>
      <x:c r="D118" s="2"/>
      <x:c r="E118" s="2"/>
      <x:c r="F11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1299991607666" hidden="0" customWidth="1"/>
    <x:col min="2" max="2" width="35" hidden="0" customWidth="1"/>
    <x:col min="3" max="3" width="41.25" hidden="0" customWidth="1"/>
    <x:col min="4" max="4" width="25" hidden="0" customWidth="1"/>
    <x:col min="5" max="5" width="45.630001068115234" hidden="0" customWidth="1"/>
  </x:cols>
  <x:sheetData>
    <x:row r="1" ht="25" customHeight="1">
      <x:c r="A1" s="4" t="str">
        <x:v>Exceptions and update guide</x:v>
      </x:c>
      <x:c r="B1" s="5"/>
      <x:c r="C1" s="5"/>
      <x:c r="D1" s="5"/>
      <x:c r="E1" s="5"/>
    </x:row>
    <x:row r="2" ht="25" customHeight="1">
      <x:c r="A2" s="6" t="str">
        <x:v>Fictional data, created with AI by 1 Yen Lab. This is a demonstration, not client work.</x:v>
      </x:c>
      <x:c r="B2" s="6"/>
      <x:c r="C2" s="6"/>
      <x:c r="D2" s="6"/>
      <x:c r="E2" s="6"/>
    </x:row>
    <x:row r="3" ht="25" customHeight="1">
      <x:c r="A3" s="6" t="str">
        <x:v>Results recalculate from Supplier input. Blank optional fields are not failures.</x:v>
      </x:c>
      <x:c r="B3" s="6"/>
      <x:c r="C3" s="6"/>
      <x:c r="D3" s="6"/>
      <x:c r="E3" s="6"/>
    </x:row>
    <x:row r="4" ht="25" customHeight="1">
      <x:c r="A4" s="2"/>
      <x:c r="B4" s="2"/>
      <x:c r="C4" s="2"/>
      <x:c r="D4" s="2"/>
      <x:c r="E4" s="2"/>
    </x:row>
    <x:row r="5" ht="29" customHeight="1">
      <x:c r="A5" s="12" t="str">
        <x:v>Product</x:v>
      </x:c>
      <x:c r="B5" s="13" t="str">
        <x:v>Check</x:v>
      </x:c>
      <x:c r="C5" s="13" t="str">
        <x:v>Result</x:v>
      </x:c>
      <x:c r="D5" s="13" t="str">
        <x:v>Input reference</x:v>
      </x:c>
      <x:c r="E5" s="14" t="str">
        <x:v>What to confirm</x:v>
      </x:c>
    </x:row>
    <x:row r="6" ht="41" customHeight="1">
      <x:c r="A6" s="24" t="str">
        <x:v>Bottle</x:v>
      </x:c>
      <x:c r="B6" s="24" t="str">
        <x:v>Product code</x:v>
      </x:c>
      <x:c r="C6" s="24" t="str">
        <x:f>IF('Supplier input'!B8="","Missing product code","Complete")</x:f>
        <x:v>Complete</x:v>
      </x:c>
      <x:c r="D6" s="24" t="str">
        <x:v>B8</x:v>
      </x:c>
      <x:c r="E6" s="24" t="str">
        <x:v>Enter the supplier-confirmed value.</x:v>
      </x:c>
    </x:row>
    <x:row r="7" ht="41" customHeight="1">
      <x:c r="A7" s="24" t="str">
        <x:v>Bottle</x:v>
      </x:c>
      <x:c r="B7" s="24" t="str">
        <x:v>Supplier</x:v>
      </x:c>
      <x:c r="C7" s="24" t="str">
        <x:f>IF('Supplier input'!B9="","Missing supplier","Complete")</x:f>
        <x:v>Complete</x:v>
      </x:c>
      <x:c r="D7" s="24" t="str">
        <x:v>B9</x:v>
      </x:c>
      <x:c r="E7" s="24" t="str">
        <x:v>Enter the supplier-confirmed value.</x:v>
      </x:c>
    </x:row>
    <x:row r="8" ht="41" customHeight="1">
      <x:c r="A8" s="24" t="str">
        <x:v>Bottle</x:v>
      </x:c>
      <x:c r="B8" s="24" t="str">
        <x:v>Product name</x:v>
      </x:c>
      <x:c r="C8" s="24" t="str">
        <x:f>IF('Supplier input'!B10="","Missing product name","Complete")</x:f>
        <x:v>Complete</x:v>
      </x:c>
      <x:c r="D8" s="24" t="str">
        <x:v>B10</x:v>
      </x:c>
      <x:c r="E8" s="24" t="str">
        <x:v>Enter the supplier-confirmed value.</x:v>
      </x:c>
    </x:row>
    <x:row r="9" ht="41" customHeight="1">
      <x:c r="A9" s="24" t="str">
        <x:v>Bottle</x:v>
      </x:c>
      <x:c r="B9" s="24" t="str">
        <x:v>Lead time</x:v>
      </x:c>
      <x:c r="C9" s="24" t="str">
        <x:f>IF('Supplier input'!B17="","Missing lead time",IF(AND(ISNUMBER('Supplier input'!B17),'Supplier input'!B17&gt;0,MOD('Supplier input'!B17,1)=0),"Complete","Enter a positive whole number"))</x:f>
        <x:v>Missing lead time</x:v>
      </x:c>
      <x:c r="D9" s="24" t="str">
        <x:v>B17</x:v>
      </x:c>
      <x:c r="E9" s="24" t="str">
        <x:v>Enter the supplier-confirmed positive whole number.</x:v>
      </x:c>
    </x:row>
    <x:row r="10" ht="41" customHeight="1">
      <x:c r="A10" s="24" t="str">
        <x:v>Bottle</x:v>
      </x:c>
      <x:c r="B10" s="24" t="str">
        <x:v>Minimum order</x:v>
      </x:c>
      <x:c r="C10" s="24" t="str">
        <x:f>IF('Supplier input'!B18="","Missing minimum order",IF(AND(ISNUMBER('Supplier input'!B18),'Supplier input'!B18&gt;0,MOD('Supplier input'!B18,1)=0),"Complete","Enter a positive whole number"))</x:f>
        <x:v>Complete</x:v>
      </x:c>
      <x:c r="D10" s="24" t="str">
        <x:v>B18</x:v>
      </x:c>
      <x:c r="E10" s="24" t="str">
        <x:v>Enter the supplier-confirmed positive whole number.</x:v>
      </x:c>
    </x:row>
    <x:row r="11" ht="41" customHeight="1">
      <x:c r="A11" s="24" t="str">
        <x:v>Bottle</x:v>
      </x:c>
      <x:c r="B11" s="24" t="str">
        <x:v>Carton quantity</x:v>
      </x:c>
      <x:c r="C11" s="24" t="str">
        <x:f>IF('Supplier input'!B19="","Missing carton quantity",IF(AND(ISNUMBER('Supplier input'!B19),'Supplier input'!B19&gt;0,MOD('Supplier input'!B19,1)=0),"Complete","Enter a positive whole number"))</x:f>
        <x:v>Complete</x:v>
      </x:c>
      <x:c r="D11" s="24" t="str">
        <x:v>B19</x:v>
      </x:c>
      <x:c r="E11" s="24" t="str">
        <x:v>Enter the supplier-confirmed positive whole number.</x:v>
      </x:c>
    </x:row>
    <x:row r="12" ht="41" customHeight="1">
      <x:c r="A12" s="24" t="str">
        <x:v>Bottle</x:v>
      </x:c>
      <x:c r="B12" s="24" t="str">
        <x:v>Quote currency</x:v>
      </x:c>
      <x:c r="C12" s="24" t="str">
        <x:f>IF('Supplier input'!B20="","Missing quote currency","Complete")</x:f>
        <x:v>Complete</x:v>
      </x:c>
      <x:c r="D12" s="24" t="str">
        <x:v>B20</x:v>
      </x:c>
      <x:c r="E12" s="24" t="str">
        <x:v>Enter the supplier-confirmed value.</x:v>
      </x:c>
    </x:row>
    <x:row r="13" ht="41" customHeight="1">
      <x:c r="A13" s="24" t="str">
        <x:v>Bottle</x:v>
      </x:c>
      <x:c r="B13" s="24" t="str">
        <x:v>Tier 1: quantity / price / currency</x:v>
      </x:c>
      <x:c r="C13" s="24" t="str">
        <x:f>IF(OR('Supplier input'!B32="",'Supplier input'!C32="",'Supplier input'!D32=""),"Missing tier value",IF(AND(ISNUMBER('Supplier input'!B32),'Supplier input'!B32&gt;0,MOD('Supplier input'!B32,1)=0,ISNUMBER('Supplier input'!D32),'Supplier input'!D32&gt;=0),"Complete","Invalid quantity or amount"))</x:f>
        <x:v>Complete</x:v>
      </x:c>
      <x:c r="D13" s="24" t="str">
        <x:v>B32:D32</x:v>
      </x:c>
      <x:c r="E13" s="24" t="str">
        <x:v>Keep the currency attached to its unit price.</x:v>
      </x:c>
    </x:row>
    <x:row r="14" ht="41" customHeight="1">
      <x:c r="A14" s="24" t="str">
        <x:v>Bottle</x:v>
      </x:c>
      <x:c r="B14" s="24" t="str">
        <x:v>Tier 1: minimum order</x:v>
      </x:c>
      <x:c r="C14" s="24" t="str">
        <x:f>IF(OR('Supplier input'!B32="",'Supplier input'!B18=""),"Awaiting quantity",IF('Supplier input'!B32&lt;'Supplier input'!B18,"Tier starts below minimum order","Consistent"))</x:f>
        <x:v>Consistent</x:v>
      </x:c>
      <x:c r="D14" s="24" t="str">
        <x:v>B32, B18</x:v>
      </x:c>
      <x:c r="E14" s="24" t="str">
        <x:v>Do not change either quantity without supplier confirmation.</x:v>
      </x:c>
    </x:row>
    <x:row r="15" ht="41" customHeight="1">
      <x:c r="A15" s="24" t="str">
        <x:v>Bottle</x:v>
      </x:c>
      <x:c r="B15" s="24" t="str">
        <x:v>Tier 1: quote currency</x:v>
      </x:c>
      <x:c r="C15" s="24" t="str">
        <x:f>IF(OR('Supplier input'!C32="",'Supplier input'!B20=""),"Awaiting currency",IF('Supplier input'!C32&lt;&gt;'Supplier input'!B20,"Currency differs from quote","Consistent"))</x:f>
        <x:v>Consistent</x:v>
      </x:c>
      <x:c r="D15" s="24" t="str">
        <x:v>C32, B20</x:v>
      </x:c>
      <x:c r="E15" s="24" t="str">
        <x:v>A different currency may be intentional. Confirm rather than convert.</x:v>
      </x:c>
    </x:row>
    <x:row r="16" ht="41" customHeight="1">
      <x:c r="A16" s="24" t="str">
        <x:v>Bottle</x:v>
      </x:c>
      <x:c r="B16" s="24" t="str">
        <x:v>Tier 2: quantity / price / currency</x:v>
      </x:c>
      <x:c r="C16" s="24" t="str">
        <x:f>IF(OR('Supplier input'!B33="",'Supplier input'!C33="",'Supplier input'!D33=""),"Missing tier value",IF(AND(ISNUMBER('Supplier input'!B33),'Supplier input'!B33&gt;0,MOD('Supplier input'!B33,1)=0,ISNUMBER('Supplier input'!D33),'Supplier input'!D33&gt;=0),"Complete","Invalid quantity or amount"))</x:f>
        <x:v>Complete</x:v>
      </x:c>
      <x:c r="D16" s="24" t="str">
        <x:v>B33:D33</x:v>
      </x:c>
      <x:c r="E16" s="24" t="str">
        <x:v>Keep the currency attached to its unit price.</x:v>
      </x:c>
    </x:row>
    <x:row r="17" ht="41" customHeight="1">
      <x:c r="A17" s="24" t="str">
        <x:v>Bottle</x:v>
      </x:c>
      <x:c r="B17" s="24" t="str">
        <x:v>Tier 2: minimum order</x:v>
      </x:c>
      <x:c r="C17" s="24" t="str">
        <x:f>IF(OR('Supplier input'!B33="",'Supplier input'!B18=""),"Awaiting quantity",IF('Supplier input'!B33&lt;'Supplier input'!B18,"Tier starts below minimum order","Consistent"))</x:f>
        <x:v>Consistent</x:v>
      </x:c>
      <x:c r="D17" s="24" t="str">
        <x:v>B33, B18</x:v>
      </x:c>
      <x:c r="E17" s="24" t="str">
        <x:v>Do not change either quantity without supplier confirmation.</x:v>
      </x:c>
    </x:row>
    <x:row r="18" ht="41" customHeight="1">
      <x:c r="A18" s="24" t="str">
        <x:v>Bottle</x:v>
      </x:c>
      <x:c r="B18" s="24" t="str">
        <x:v>Tier 2: quote currency</x:v>
      </x:c>
      <x:c r="C18" s="24" t="str">
        <x:f>IF(OR('Supplier input'!C33="",'Supplier input'!B20=""),"Awaiting currency",IF('Supplier input'!C33&lt;&gt;'Supplier input'!B20,"Currency differs from quote","Consistent"))</x:f>
        <x:v>Consistent</x:v>
      </x:c>
      <x:c r="D18" s="24" t="str">
        <x:v>C33, B20</x:v>
      </x:c>
      <x:c r="E18" s="24" t="str">
        <x:v>A different currency may be intentional. Confirm rather than convert.</x:v>
      </x:c>
    </x:row>
    <x:row r="19" ht="41" customHeight="1">
      <x:c r="A19" s="24" t="str">
        <x:v>Bottle</x:v>
      </x:c>
      <x:c r="B19" s="24" t="str">
        <x:v>Tier 3: quantity / price / currency</x:v>
      </x:c>
      <x:c r="C19" s="24" t="str">
        <x:f>IF(OR('Supplier input'!B34="",'Supplier input'!C34="",'Supplier input'!D34=""),"Missing tier value",IF(AND(ISNUMBER('Supplier input'!B34),'Supplier input'!B34&gt;0,MOD('Supplier input'!B34,1)=0,ISNUMBER('Supplier input'!D34),'Supplier input'!D34&gt;=0),"Complete","Invalid quantity or amount"))</x:f>
        <x:v>Complete</x:v>
      </x:c>
      <x:c r="D19" s="24" t="str">
        <x:v>B34:D34</x:v>
      </x:c>
      <x:c r="E19" s="24" t="str">
        <x:v>Keep the currency attached to its unit price.</x:v>
      </x:c>
    </x:row>
    <x:row r="20" ht="41" customHeight="1">
      <x:c r="A20" s="24" t="str">
        <x:v>Bottle</x:v>
      </x:c>
      <x:c r="B20" s="24" t="str">
        <x:v>Tier 3: minimum order</x:v>
      </x:c>
      <x:c r="C20" s="24" t="str">
        <x:f>IF(OR('Supplier input'!B34="",'Supplier input'!B18=""),"Awaiting quantity",IF('Supplier input'!B34&lt;'Supplier input'!B18,"Tier starts below minimum order","Consistent"))</x:f>
        <x:v>Consistent</x:v>
      </x:c>
      <x:c r="D20" s="24" t="str">
        <x:v>B34, B18</x:v>
      </x:c>
      <x:c r="E20" s="24" t="str">
        <x:v>Do not change either quantity without supplier confirmation.</x:v>
      </x:c>
    </x:row>
    <x:row r="21" ht="41" customHeight="1">
      <x:c r="A21" s="24" t="str">
        <x:v>Bottle</x:v>
      </x:c>
      <x:c r="B21" s="24" t="str">
        <x:v>Tier 3: quote currency</x:v>
      </x:c>
      <x:c r="C21" s="24" t="str">
        <x:f>IF(OR('Supplier input'!C34="",'Supplier input'!B20=""),"Awaiting currency",IF('Supplier input'!C34&lt;&gt;'Supplier input'!B20,"Currency differs from quote","Consistent"))</x:f>
        <x:v>Consistent</x:v>
      </x:c>
      <x:c r="D21" s="24" t="str">
        <x:v>C34, B20</x:v>
      </x:c>
      <x:c r="E21" s="24" t="str">
        <x:v>A different currency may be intentional. Confirm rather than convert.</x:v>
      </x:c>
    </x:row>
    <x:row r="22" ht="41" customHeight="1">
      <x:c r="A22" s="24" t="str">
        <x:v>Notebook</x:v>
      </x:c>
      <x:c r="B22" s="24" t="str">
        <x:v>Product code</x:v>
      </x:c>
      <x:c r="C22" s="24" t="str">
        <x:f>IF('Supplier input'!C8="","Missing product code","Complete")</x:f>
        <x:v>Complete</x:v>
      </x:c>
      <x:c r="D22" s="24" t="str">
        <x:v>C8</x:v>
      </x:c>
      <x:c r="E22" s="24" t="str">
        <x:v>Enter the supplier-confirmed value.</x:v>
      </x:c>
    </x:row>
    <x:row r="23" ht="41" customHeight="1">
      <x:c r="A23" s="24" t="str">
        <x:v>Notebook</x:v>
      </x:c>
      <x:c r="B23" s="24" t="str">
        <x:v>Supplier</x:v>
      </x:c>
      <x:c r="C23" s="24" t="str">
        <x:f>IF('Supplier input'!C9="","Missing supplier","Complete")</x:f>
        <x:v>Complete</x:v>
      </x:c>
      <x:c r="D23" s="24" t="str">
        <x:v>C9</x:v>
      </x:c>
      <x:c r="E23" s="24" t="str">
        <x:v>Enter the supplier-confirmed value.</x:v>
      </x:c>
    </x:row>
    <x:row r="24" ht="41" customHeight="1">
      <x:c r="A24" s="24" t="str">
        <x:v>Notebook</x:v>
      </x:c>
      <x:c r="B24" s="24" t="str">
        <x:v>Product name</x:v>
      </x:c>
      <x:c r="C24" s="24" t="str">
        <x:f>IF('Supplier input'!C10="","Missing product name","Complete")</x:f>
        <x:v>Complete</x:v>
      </x:c>
      <x:c r="D24" s="24" t="str">
        <x:v>C10</x:v>
      </x:c>
      <x:c r="E24" s="24" t="str">
        <x:v>Enter the supplier-confirmed value.</x:v>
      </x:c>
    </x:row>
    <x:row r="25" ht="41" customHeight="1">
      <x:c r="A25" s="24" t="str">
        <x:v>Notebook</x:v>
      </x:c>
      <x:c r="B25" s="24" t="str">
        <x:v>Lead time</x:v>
      </x:c>
      <x:c r="C25" s="24" t="str">
        <x:f>IF('Supplier input'!C17="","Missing lead time",IF(AND(ISNUMBER('Supplier input'!C17),'Supplier input'!C17&gt;0,MOD('Supplier input'!C17,1)=0),"Complete","Enter a positive whole number"))</x:f>
        <x:v>Complete</x:v>
      </x:c>
      <x:c r="D25" s="24" t="str">
        <x:v>C17</x:v>
      </x:c>
      <x:c r="E25" s="24" t="str">
        <x:v>Enter the supplier-confirmed positive whole number.</x:v>
      </x:c>
    </x:row>
    <x:row r="26" ht="41" customHeight="1">
      <x:c r="A26" s="24" t="str">
        <x:v>Notebook</x:v>
      </x:c>
      <x:c r="B26" s="24" t="str">
        <x:v>Minimum order</x:v>
      </x:c>
      <x:c r="C26" s="24" t="str">
        <x:f>IF('Supplier input'!C18="","Missing minimum order",IF(AND(ISNUMBER('Supplier input'!C18),'Supplier input'!C18&gt;0,MOD('Supplier input'!C18,1)=0),"Complete","Enter a positive whole number"))</x:f>
        <x:v>Complete</x:v>
      </x:c>
      <x:c r="D26" s="24" t="str">
        <x:v>C18</x:v>
      </x:c>
      <x:c r="E26" s="24" t="str">
        <x:v>Enter the supplier-confirmed positive whole number.</x:v>
      </x:c>
    </x:row>
    <x:row r="27" ht="41" customHeight="1">
      <x:c r="A27" s="24" t="str">
        <x:v>Notebook</x:v>
      </x:c>
      <x:c r="B27" s="24" t="str">
        <x:v>Carton quantity</x:v>
      </x:c>
      <x:c r="C27" s="24" t="str">
        <x:f>IF('Supplier input'!C19="","Missing carton quantity",IF(AND(ISNUMBER('Supplier input'!C19),'Supplier input'!C19&gt;0,MOD('Supplier input'!C19,1)=0),"Complete","Enter a positive whole number"))</x:f>
        <x:v>Complete</x:v>
      </x:c>
      <x:c r="D27" s="24" t="str">
        <x:v>C19</x:v>
      </x:c>
      <x:c r="E27" s="24" t="str">
        <x:v>Enter the supplier-confirmed positive whole number.</x:v>
      </x:c>
    </x:row>
    <x:row r="28" ht="41" customHeight="1">
      <x:c r="A28" s="24" t="str">
        <x:v>Notebook</x:v>
      </x:c>
      <x:c r="B28" s="24" t="str">
        <x:v>Quote currency</x:v>
      </x:c>
      <x:c r="C28" s="24" t="str">
        <x:f>IF('Supplier input'!C20="","Missing quote currency","Complete")</x:f>
        <x:v>Complete</x:v>
      </x:c>
      <x:c r="D28" s="24" t="str">
        <x:v>C20</x:v>
      </x:c>
      <x:c r="E28" s="24" t="str">
        <x:v>Enter the supplier-confirmed value.</x:v>
      </x:c>
    </x:row>
    <x:row r="29" ht="41" customHeight="1">
      <x:c r="A29" s="24" t="str">
        <x:v>Notebook</x:v>
      </x:c>
      <x:c r="B29" s="24" t="str">
        <x:v>Tier 1: quantity / price / currency</x:v>
      </x:c>
      <x:c r="C29" s="24" t="str">
        <x:f>IF(OR('Supplier input'!B35="",'Supplier input'!C35="",'Supplier input'!D35=""),"Missing tier value",IF(AND(ISNUMBER('Supplier input'!B35),'Supplier input'!B35&gt;0,MOD('Supplier input'!B35,1)=0,ISNUMBER('Supplier input'!D35),'Supplier input'!D35&gt;=0),"Complete","Invalid quantity or amount"))</x:f>
        <x:v>Complete</x:v>
      </x:c>
      <x:c r="D29" s="24" t="str">
        <x:v>B35:D35</x:v>
      </x:c>
      <x:c r="E29" s="24" t="str">
        <x:v>Keep the currency attached to its unit price.</x:v>
      </x:c>
    </x:row>
    <x:row r="30" ht="41" customHeight="1">
      <x:c r="A30" s="24" t="str">
        <x:v>Notebook</x:v>
      </x:c>
      <x:c r="B30" s="24" t="str">
        <x:v>Tier 1: minimum order</x:v>
      </x:c>
      <x:c r="C30" s="24" t="str">
        <x:f>IF(OR('Supplier input'!B35="",'Supplier input'!C18=""),"Awaiting quantity",IF('Supplier input'!B35&lt;'Supplier input'!C18,"Tier starts below minimum order","Consistent"))</x:f>
        <x:v>Tier starts below minimum order</x:v>
      </x:c>
      <x:c r="D30" s="24" t="str">
        <x:v>B35, C18</x:v>
      </x:c>
      <x:c r="E30" s="24" t="str">
        <x:v>Do not change either quantity without supplier confirmation.</x:v>
      </x:c>
    </x:row>
    <x:row r="31" ht="41" customHeight="1">
      <x:c r="A31" s="24" t="str">
        <x:v>Notebook</x:v>
      </x:c>
      <x:c r="B31" s="24" t="str">
        <x:v>Tier 1: quote currency</x:v>
      </x:c>
      <x:c r="C31" s="24" t="str">
        <x:f>IF(OR('Supplier input'!C35="",'Supplier input'!C20=""),"Awaiting currency",IF('Supplier input'!C35&lt;&gt;'Supplier input'!C20,"Currency differs from quote","Consistent"))</x:f>
        <x:v>Consistent</x:v>
      </x:c>
      <x:c r="D31" s="24" t="str">
        <x:v>C35, C20</x:v>
      </x:c>
      <x:c r="E31" s="24" t="str">
        <x:v>A different currency may be intentional. Confirm rather than convert.</x:v>
      </x:c>
    </x:row>
    <x:row r="32" ht="41" customHeight="1">
      <x:c r="A32" s="24" t="str">
        <x:v>Notebook</x:v>
      </x:c>
      <x:c r="B32" s="24" t="str">
        <x:v>Tier 2: quantity / price / currency</x:v>
      </x:c>
      <x:c r="C32" s="24" t="str">
        <x:f>IF(OR('Supplier input'!B36="",'Supplier input'!C36="",'Supplier input'!D36=""),"Missing tier value",IF(AND(ISNUMBER('Supplier input'!B36),'Supplier input'!B36&gt;0,MOD('Supplier input'!B36,1)=0,ISNUMBER('Supplier input'!D36),'Supplier input'!D36&gt;=0),"Complete","Invalid quantity or amount"))</x:f>
        <x:v>Complete</x:v>
      </x:c>
      <x:c r="D32" s="24" t="str">
        <x:v>B36:D36</x:v>
      </x:c>
      <x:c r="E32" s="24" t="str">
        <x:v>Keep the currency attached to its unit price.</x:v>
      </x:c>
    </x:row>
    <x:row r="33" ht="41" customHeight="1">
      <x:c r="A33" s="24" t="str">
        <x:v>Notebook</x:v>
      </x:c>
      <x:c r="B33" s="24" t="str">
        <x:v>Tier 2: minimum order</x:v>
      </x:c>
      <x:c r="C33" s="24" t="str">
        <x:f>IF(OR('Supplier input'!B36="",'Supplier input'!C18=""),"Awaiting quantity",IF('Supplier input'!B36&lt;'Supplier input'!C18,"Tier starts below minimum order","Consistent"))</x:f>
        <x:v>Consistent</x:v>
      </x:c>
      <x:c r="D33" s="24" t="str">
        <x:v>B36, C18</x:v>
      </x:c>
      <x:c r="E33" s="24" t="str">
        <x:v>Do not change either quantity without supplier confirmation.</x:v>
      </x:c>
    </x:row>
    <x:row r="34" ht="41" customHeight="1">
      <x:c r="A34" s="24" t="str">
        <x:v>Notebook</x:v>
      </x:c>
      <x:c r="B34" s="24" t="str">
        <x:v>Tier 2: quote currency</x:v>
      </x:c>
      <x:c r="C34" s="24" t="str">
        <x:f>IF(OR('Supplier input'!C36="",'Supplier input'!C20=""),"Awaiting currency",IF('Supplier input'!C36&lt;&gt;'Supplier input'!C20,"Currency differs from quote","Consistent"))</x:f>
        <x:v>Currency differs from quote</x:v>
      </x:c>
      <x:c r="D34" s="24" t="str">
        <x:v>C36, C20</x:v>
      </x:c>
      <x:c r="E34" s="24" t="str">
        <x:v>A different currency may be intentional. Confirm rather than convert.</x:v>
      </x:c>
    </x:row>
    <x:row r="35" ht="41" customHeight="1">
      <x:c r="A35" s="24" t="str">
        <x:v>Notebook</x:v>
      </x:c>
      <x:c r="B35" s="24" t="str">
        <x:v>Tier 3: quantity / price / currency</x:v>
      </x:c>
      <x:c r="C35" s="24" t="str">
        <x:f>IF(OR('Supplier input'!B37="",'Supplier input'!C37="",'Supplier input'!D37=""),"Missing tier value",IF(AND(ISNUMBER('Supplier input'!B37),'Supplier input'!B37&gt;0,MOD('Supplier input'!B37,1)=0,ISNUMBER('Supplier input'!D37),'Supplier input'!D37&gt;=0),"Complete","Invalid quantity or amount"))</x:f>
        <x:v>Complete</x:v>
      </x:c>
      <x:c r="D35" s="24" t="str">
        <x:v>B37:D37</x:v>
      </x:c>
      <x:c r="E35" s="24" t="str">
        <x:v>Keep the currency attached to its unit price.</x:v>
      </x:c>
    </x:row>
    <x:row r="36" ht="41" customHeight="1">
      <x:c r="A36" s="24" t="str">
        <x:v>Notebook</x:v>
      </x:c>
      <x:c r="B36" s="24" t="str">
        <x:v>Tier 3: minimum order</x:v>
      </x:c>
      <x:c r="C36" s="24" t="str">
        <x:f>IF(OR('Supplier input'!B37="",'Supplier input'!C18=""),"Awaiting quantity",IF('Supplier input'!B37&lt;'Supplier input'!C18,"Tier starts below minimum order","Consistent"))</x:f>
        <x:v>Consistent</x:v>
      </x:c>
      <x:c r="D36" s="24" t="str">
        <x:v>B37, C18</x:v>
      </x:c>
      <x:c r="E36" s="24" t="str">
        <x:v>Do not change either quantity without supplier confirmation.</x:v>
      </x:c>
    </x:row>
    <x:row r="37" ht="41" customHeight="1">
      <x:c r="A37" s="24" t="str">
        <x:v>Notebook</x:v>
      </x:c>
      <x:c r="B37" s="24" t="str">
        <x:v>Tier 3: quote currency</x:v>
      </x:c>
      <x:c r="C37" s="24" t="str">
        <x:f>IF(OR('Supplier input'!C37="",'Supplier input'!C20=""),"Awaiting currency",IF('Supplier input'!C37&lt;&gt;'Supplier input'!C20,"Currency differs from quote","Consistent"))</x:f>
        <x:v>Consistent</x:v>
      </x:c>
      <x:c r="D37" s="24" t="str">
        <x:v>C37, C20</x:v>
      </x:c>
      <x:c r="E37" s="24" t="str">
        <x:v>A different currency may be intentional. Confirm rather than convert.</x:v>
      </x:c>
    </x:row>
    <x:row r="38" ht="25" customHeight="1">
      <x:c r="A38" s="2"/>
      <x:c r="B38" s="2"/>
      <x:c r="C38" s="2"/>
      <x:c r="D38" s="2"/>
      <x:c r="E38" s="2"/>
    </x:row>
    <x:row r="39" ht="25" customHeight="1">
      <x:c r="A39" s="2"/>
      <x:c r="B39" s="2"/>
      <x:c r="C39" s="2"/>
      <x:c r="D39" s="2"/>
      <x:c r="E39" s="2"/>
    </x:row>
    <x:row r="40" ht="25" customHeight="1">
      <x:c r="A40" s="2"/>
      <x:c r="B40" s="2"/>
      <x:c r="C40" s="2"/>
      <x:c r="D40" s="2"/>
      <x:c r="E40" s="2"/>
    </x:row>
    <x:row r="41" ht="25" customHeight="1">
      <x:c r="A41" s="2"/>
      <x:c r="B41" s="2"/>
      <x:c r="C41" s="2"/>
      <x:c r="D41" s="2"/>
      <x:c r="E41" s="2"/>
    </x:row>
    <x:row r="42" ht="29" customHeight="1">
      <x:c r="A42" s="8" t="str">
        <x:v>How to update or add records</x:v>
      </x:c>
      <x:c r="B42" s="8"/>
      <x:c r="C42" s="8"/>
      <x:c r="D42" s="8"/>
      <x:c r="E42" s="8"/>
    </x:row>
    <x:row r="43" ht="25" customHeight="1">
      <x:c r="A43" s="2"/>
      <x:c r="B43" s="2"/>
      <x:c r="C43" s="2"/>
      <x:c r="D43" s="2"/>
      <x:c r="E43" s="2"/>
    </x:row>
    <x:row r="44" ht="25" customHeight="1">
      <x:c r="A44" s="2" t="str">
        <x:v>1. Preserve the original supplier record on Sources &amp; map before making changes.</x:v>
      </x:c>
      <x:c r="B44" s="2"/>
      <x:c r="C44" s="2"/>
      <x:c r="D44" s="2"/>
      <x:c r="E44" s="2"/>
    </x:row>
    <x:row r="45" ht="25" customHeight="1">
      <x:c r="A45" s="2" t="str">
        <x:v>2. Edit only the amber inputs. Product pages and exception results update automatically.</x:v>
      </x:c>
      <x:c r="B45" s="2"/>
      <x:c r="C45" s="2"/>
      <x:c r="D45" s="2"/>
      <x:c r="E45" s="2"/>
    </x:row>
    <x:row r="46" ht="25" customHeight="1">
      <x:c r="A46" s="2" t="str">
        <x:v>3. Ask the supplier to resolve missing or conflicting values. Keep original currencies and amounts.</x:v>
      </x:c>
      <x:c r="B46" s="2"/>
      <x:c r="C46" s="2"/>
      <x:c r="D46" s="2"/>
      <x:c r="E46" s="2"/>
    </x:row>
    <x:row r="47" ht="25" customHeight="1">
      <x:c r="A47" s="2" t="str">
        <x:v>4. For a new product, copy a product tab and add its input column and pricing rows.</x:v>
      </x:c>
      <x:c r="B47" s="2"/>
      <x:c r="C47" s="2"/>
      <x:c r="D47" s="2"/>
      <x:c r="E47" s="2"/>
    </x:row>
    <x:row r="48" ht="25" customHeight="1">
      <x:c r="A48" s="2" t="str">
        <x:v>5. Point the copied formulas to the new inputs. Add every source field to the mapping and checks.</x:v>
      </x:c>
      <x:c r="B48" s="2"/>
      <x:c r="C48" s="2"/>
      <x:c r="D48" s="2"/>
      <x:c r="E48" s="2"/>
    </x:row>
    <x:row r="49" ht="25" customHeight="1">
      <x:c r="A49" s="2" t="str">
        <x:v>6. Test a missing value, a currency mismatch and a minimum-order conflict before sharing.</x:v>
      </x:c>
      <x:c r="B49" s="2"/>
      <x:c r="C49" s="2"/>
      <x:c r="D49" s="2"/>
      <x:c r="E49" s="2"/>
    </x:row>
    <x:row r="50" ht="25" customHeight="1">
      <x:c r="A50" s="2" t="str">
        <x:v>Additional products and tiers require these explicit steps. There is no automatic import or tab creation.</x:v>
      </x:c>
      <x:c r="B50" s="2"/>
      <x:c r="C50" s="2"/>
      <x:c r="D50" s="2"/>
      <x:c r="E50" s="2"/>
    </x:row>
    <x:row r="51" ht="25" customHeight="1">
      <x:c r="A51" s="2" t="str">
        <x:v>This example checks required fields, price completeness, minimum-order conflicts and currency differences.</x:v>
      </x:c>
      <x:c r="B51" s="2"/>
      <x:c r="C51" s="2"/>
      <x:c r="D51" s="2"/>
      <x:c r="E51" s="2"/>
    </x:row>
    <x:row r="52" ht="25" customHeight="1">
      <x:c r="A52" s="2" t="str">
        <x:v>It does not validate supplier claims, tax treatment, exchange rates, images or contract terms.</x:v>
      </x:c>
      <x:c r="B52" s="2"/>
      <x:c r="C52" s="2"/>
      <x:c r="D52" s="2"/>
      <x:c r="E52" s="2"/>
    </x:row>
    <x:row r="53" ht="25" customHeight="1">
      <x:c r="A53" s="2"/>
      <x:c r="B53" s="2"/>
      <x:c r="C53" s="2"/>
      <x:c r="D53" s="2"/>
      <x:c r="E53" s="2"/>
    </x:row>
    <x:row r="54" ht="25" customHeight="1">
      <x:c r="A54" s="2"/>
      <x:c r="B54" s="2"/>
      <x:c r="C54" s="2"/>
      <x:c r="D54" s="2"/>
      <x:c r="E54" s="2"/>
    </x:row>
    <x:row r="55" ht="25" customHeight="1">
      <x:c r="A55" s="2"/>
      <x:c r="B55" s="2"/>
      <x:c r="C55" s="2"/>
      <x:c r="D55" s="2"/>
      <x:c r="E55" s="2"/>
    </x:row>
    <x:row r="56" ht="25" customHeight="1">
      <x:c r="A56" s="2"/>
      <x:c r="B56" s="2"/>
      <x:c r="C56" s="2"/>
      <x:c r="D56" s="2"/>
      <x:c r="E56" s="2"/>
    </x:row>
    <x:row r="57" ht="25" customHeight="1">
      <x:c r="A57" s="2"/>
      <x:c r="B57" s="2"/>
      <x:c r="C57" s="2"/>
      <x:c r="D57" s="2"/>
      <x:c r="E57" s="2"/>
    </x:row>
    <x:row r="58" ht="25" customHeight="1">
      <x:c r="A58" s="2"/>
      <x:c r="B58" s="2"/>
      <x:c r="C58" s="2"/>
      <x:c r="D58" s="2"/>
      <x:c r="E58" s="2"/>
    </x:row>
    <x:row r="59" ht="25" customHeight="1">
      <x:c r="A59" s="2"/>
      <x:c r="B59" s="2"/>
      <x:c r="C59" s="2"/>
      <x:c r="D59" s="2"/>
      <x:c r="E59" s="2"/>
    </x:row>
    <x:row r="60" ht="25" customHeight="1">
      <x:c r="A60" s="2"/>
      <x:c r="B60" s="2"/>
      <x:c r="C60" s="2"/>
      <x:c r="D60" s="2"/>
      <x:c r="E60" s="2"/>
    </x:row>
  </x:sheetData>
  <x:conditionalFormatting sqref="C6:C37">
    <x:cfRule type="expression" dxfId="0" priority="1">
      <x:formula>AND(C6&lt;&gt;"Complete",C6&lt;&gt;"Consistent")</x:formula>
    </x:cfRule>
  </x:conditionalFormatting>
  <x:pageMargins left="0.7" right="0.7" top="0.75" bottom="0.75" header="0.3" footer="0.3"/>
</x:worksheet>
</file>